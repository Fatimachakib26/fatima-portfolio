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 des candidatures" sheetId="1" state="visible" r:id="rId3"/>
    <sheet name="Tableau de bord" sheetId="2" state="visible" r:id="rId4"/>
    <sheet name="Adaptation des CV" sheetId="3" state="visible" r:id="rId5"/>
    <sheet name="Contacts et liens utiles" sheetId="4" state="visible" r:id="rId6"/>
    <sheet name="Sources" sheetId="5" state="visible" r:id="rId7"/>
    <sheet name="Listes" sheetId="6" state="hidden" r:id="rId8"/>
  </sheets>
  <definedNames>
    <definedName function="false" hidden="true" localSheetId="0" name="_xlnm._FilterDatabase" vbProcedure="false">'Suivi des candidatures'!$A$5:$U$45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Seuls les e-mails publiés dans une annonce sont indiqués, avec l'année de l'annonce : à reconfirmer avant envoi.</t>
        </r>
      </text>
    </comment>
    <comment ref="P5" authorId="0">
      <text>
        <r>
          <rPr>
            <sz val="10"/>
            <rFont val="Arial"/>
            <family val="2"/>
          </rPr>
          <t xml:space="preserve">Calculée automatiquement : date d'envoi + 10 jours (modifiable).</t>
        </r>
      </text>
    </comment>
    <comment ref="U5" authorId="0">
      <text>
        <r>
          <rPr>
            <sz val="10"/>
            <rFont val="Arial"/>
            <family val="2"/>
          </rPr>
          <t xml:space="preserve">« Oui » seulement si l'offre a été vue en ligne et n'est pas expirée. Alimente le tableau de bord.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Hypothèse : 25 candidatures d'ici fin janvier 2027. Modifiable.</t>
        </r>
      </text>
    </comment>
  </commentList>
</comments>
</file>

<file path=xl/sharedStrings.xml><?xml version="1.0" encoding="utf-8"?>
<sst xmlns="http://schemas.openxmlformats.org/spreadsheetml/2006/main" count="1106" uniqueCount="557">
  <si>
    <t xml:space="preserve">Suivi des candidatures — PFE 2027</t>
  </si>
  <si>
    <t xml:space="preserve">Fatima Zahrae Chakib · PFE de 4 mois du 01/02/2027 au 31/05/2027 · Recherche du 29/10/2026 · Triées : offres ouvertes, puis priorité Haute, Moyenne et Basse · NP = non publié</t>
  </si>
  <si>
    <t xml:space="preserve">L'OFFRE</t>
  </si>
  <si>
    <t xml:space="preserve">MON CV</t>
  </si>
  <si>
    <t xml:space="preserve">CONTACT</t>
  </si>
  <si>
    <t xml:space="preserve">SUIVI</t>
  </si>
  <si>
    <t xml:space="preserve">PRÉ-EMBAUCHE</t>
  </si>
  <si>
    <t xml:space="preserve">ACTION</t>
  </si>
  <si>
    <t xml:space="preserve">Entreprise</t>
  </si>
  <si>
    <t xml:space="preserve">Secteur</t>
  </si>
  <si>
    <t xml:space="preserve">Ville</t>
  </si>
  <si>
    <t xml:space="preserve">Intitulé exact du poste / stage PFE</t>
  </si>
  <si>
    <t xml:space="preserve">Sujet de PFE proposé</t>
  </si>
  <si>
    <t xml:space="preserve">Compétences demandées</t>
  </si>
  <si>
    <t xml:space="preserve">CV</t>
  </si>
  <si>
    <t xml:space="preserve">Priorité</t>
  </si>
  <si>
    <t xml:space="preserve">Recruteur / contact RH</t>
  </si>
  <si>
    <t xml:space="preserve">E-mail vérifié</t>
  </si>
  <si>
    <t xml:space="preserve">Téléphone vérifié</t>
  </si>
  <si>
    <t xml:space="preserve">Lien offre / portail officiel</t>
  </si>
  <si>
    <t xml:space="preserve">Source (date)</t>
  </si>
  <si>
    <t xml:space="preserve">Statut</t>
  </si>
  <si>
    <t xml:space="preserve">Date d'envoi</t>
  </si>
  <si>
    <t xml:space="preserve">Date de relance</t>
  </si>
  <si>
    <t xml:space="preserve">Date d'entretien</t>
  </si>
  <si>
    <t xml:space="preserve">Pré-embauche</t>
  </si>
  <si>
    <t xml:space="preserve">Conditions pré-embauche</t>
  </si>
  <si>
    <t xml:space="preserve">Prochaine action</t>
  </si>
  <si>
    <t xml:space="preserve">Offre ouverte ?</t>
  </si>
  <si>
    <t xml:space="preserve">Banque Populaire (BCP)</t>
  </si>
  <si>
    <t xml:space="preserve">Banque</t>
  </si>
  <si>
    <t xml:space="preserve">Casablanca + régions</t>
  </si>
  <si>
    <t xml:space="preserve">Stage PFE 2027 (Bac+5) H/F — candidatures spontanées, 4 à 6 mois</t>
  </si>
  <si>
    <t xml:space="preserve">Scoring de crédit PME par ML (XGBoost + SHAP)</t>
  </si>
  <si>
    <t xml:space="preserve">Bac+5 dernière année ; finance, risques, data, IA</t>
  </si>
  <si>
    <t xml:space="preserve">CV C</t>
  </si>
  <si>
    <t xml:space="preserve">1 - Haute</t>
  </si>
  <si>
    <t xml:space="preserve">NP</t>
  </si>
  <si>
    <t xml:space="preserve">Via le portail</t>
  </si>
  <si>
    <t xml:space="preserve">Ouvrir ↗</t>
  </si>
  <si>
    <t xml:space="preserve">Portail BCP ; Alwadifa (01/08/2026)</t>
  </si>
  <si>
    <t xml:space="preserve">À postuler</t>
  </si>
  <si>
    <t xml:space="preserve">Possible</t>
  </si>
  <si>
    <t xml:space="preserve">Non précisé : à demander</t>
  </si>
  <si>
    <t xml:space="preserve">Postuler sur le portail en ciblant « Risques » ou « Data »</t>
  </si>
  <si>
    <t xml:space="preserve">Oui</t>
  </si>
  <si>
    <t xml:space="preserve">Coface — DataLab</t>
  </si>
  <si>
    <t xml:space="preserve">Assurance-crédit / IA</t>
  </si>
  <si>
    <t xml:space="preserve">Casablanca</t>
  </si>
  <si>
    <t xml:space="preserve">Stages PFE 2026/2027 – DataLab (Pré-Embauche)</t>
  </si>
  <si>
    <t xml:space="preserve">Prédiction des défauts de paiement d'entreprises (ML + SHAP)</t>
  </si>
  <si>
    <t xml:space="preserve">Bac+5 ; ML supervisé et non supervisé, clustering, NLP, Python</t>
  </si>
  <si>
    <t xml:space="preserve">CV A</t>
  </si>
  <si>
    <t xml:space="preserve">Via l'annonce</t>
  </si>
  <si>
    <t xml:space="preserve">Dreamjob (26/10/2026) ; Indeed</t>
  </si>
  <si>
    <t xml:space="preserve">Annoncée « offre de pré-embauche »</t>
  </si>
  <si>
    <t xml:space="preserve">Postuler cette semaine ; ne pas citer le NLP sans l'avoir pratiqué</t>
  </si>
  <si>
    <t xml:space="preserve">Forvis Mazars</t>
  </si>
  <si>
    <t xml:space="preserve">Audit</t>
  </si>
  <si>
    <t xml:space="preserve">Stage de fin d'études — Auditeur financier (non sectoriel) — janvier 2027</t>
  </si>
  <si>
    <t xml:space="preserve">Revue analytique automatisée des comptes (Python)</t>
  </si>
  <si>
    <t xml:space="preserve">Audit financier</t>
  </si>
  <si>
    <t xml:space="preserve">CV D</t>
  </si>
  <si>
    <t xml:space="preserve">Indeed / iAgora (10/2026)</t>
  </si>
  <si>
    <t xml:space="preserve">Usuel en cabinet (non confirmé)</t>
  </si>
  <si>
    <t xml:space="preserve">Postuler et demander un démarrage au 01/02/2027</t>
  </si>
  <si>
    <t xml:space="preserve">Crédit du Maroc</t>
  </si>
  <si>
    <t xml:space="preserve">Tanger / Tétouan</t>
  </si>
  <si>
    <t xml:space="preserve">Stage PFE – Analyste d'affaires</t>
  </si>
  <si>
    <t xml:space="preserve">Analyse des dossiers de crédit entreprises et du risque de contrepartie</t>
  </si>
  <si>
    <t xml:space="preserve">Bac+5 finance ; analyse financière, financements, risque de crédit</t>
  </si>
  <si>
    <t xml:space="preserve">Portail officiel ; Alwadifa (11/2024)</t>
  </si>
  <si>
    <t xml:space="preserve">À vérifier</t>
  </si>
  <si>
    <t xml:space="preserve">Une rare offre finance à Tanger : vérifier qu'elle est encore ouverte</t>
  </si>
  <si>
    <t xml:space="preserve">Non</t>
  </si>
  <si>
    <t xml:space="preserve">Plusieurs villes</t>
  </si>
  <si>
    <t xml:space="preserve">Campagne stagiaires PFE (Data &amp; Business Analysis, Corporate Finance)</t>
  </si>
  <si>
    <t xml:space="preserve">Modèle de probabilité de défaut ; nouveau cadre de provisionnement 2027</t>
  </si>
  <si>
    <t xml:space="preserve">Finance, data</t>
  </si>
  <si>
    <t xml:space="preserve">Portail officiel (campagne 2025/2026)</t>
  </si>
  <si>
    <t xml:space="preserve">Surveiller la campagne 2026/2027 sur le portail</t>
  </si>
  <si>
    <t xml:space="preserve">KPMG Maroc</t>
  </si>
  <si>
    <t xml:space="preserve">Audit &amp; conseil (risques)</t>
  </si>
  <si>
    <t xml:space="preserve">Stage PFE — Consultant Risque Crédit (FRM)</t>
  </si>
  <si>
    <t xml:space="preserve">Modélisation et validation de modèles de risque de crédit</t>
  </si>
  <si>
    <t xml:space="preserve">Gestion des risques financiers</t>
  </si>
  <si>
    <t xml:space="preserve">Portail KPMG Afrique (non daté)</t>
  </si>
  <si>
    <t xml:space="preserve">Très bonne adéquation avec ton credit scoring : vérifier l'offre</t>
  </si>
  <si>
    <t xml:space="preserve">Expleo Group</t>
  </si>
  <si>
    <t xml:space="preserve">Ingénierie / conseil</t>
  </si>
  <si>
    <t xml:space="preserve">Tanger</t>
  </si>
  <si>
    <t xml:space="preserve">Candidature directe — PFE FP&amp;A / data finance</t>
  </si>
  <si>
    <t xml:space="preserve">Suite du modèle XGBoost : prévision des coûts et de la marge</t>
  </si>
  <si>
    <t xml:space="preserve">Python, XGBoost, FP&amp;A, Power BI (acquis chez Expleo)</t>
  </si>
  <si>
    <t xml:space="preserve">Ton stage Expleo 2026</t>
  </si>
  <si>
    <t xml:space="preserve">À contacter</t>
  </si>
  <si>
    <t xml:space="preserve">À négocier avec ton ancien manager</t>
  </si>
  <si>
    <t xml:space="preserve">Écrire à ton ex-tuteur : proposer le sujet et demander une recommandation</t>
  </si>
  <si>
    <t xml:space="preserve">COFICAB Maroc</t>
  </si>
  <si>
    <t xml:space="preserve">Câbles automobile</t>
  </si>
  <si>
    <t xml:space="preserve">PFE Book : audit &amp; contrôle de gestion, gestion financière (2025)</t>
  </si>
  <si>
    <t xml:space="preserve">Pilotage du BFR et reporting Power BI</t>
  </si>
  <si>
    <t xml:space="preserve">Audit, contrôle de gestion, finance</t>
  </si>
  <si>
    <t xml:space="preserve">CV B</t>
  </si>
  <si>
    <t xml:space="preserve">Indiqué dans le PFE Book</t>
  </si>
  <si>
    <t xml:space="preserve">Bghit-nekhdem / PFE Book 2025</t>
  </si>
  <si>
    <t xml:space="preserve">Inconnue</t>
  </si>
  <si>
    <t xml:space="preserve">Guetter le PFE Book 2027 (le 2025 est sorti en décembre)</t>
  </si>
  <si>
    <t xml:space="preserve">TE Connectivity</t>
  </si>
  <si>
    <t xml:space="preserve">Automobile (connectique)</t>
  </si>
  <si>
    <t xml:space="preserve">Finance Development Program Trainee (m/f/d) — TNG-9000</t>
  </si>
  <si>
    <t xml:space="preserve">Prévision des coûts de production et analyse des écarts</t>
  </si>
  <si>
    <t xml:space="preserve">Finance, génie industriel, audit, ERP, Excel</t>
  </si>
  <si>
    <t xml:space="preserve">careers.te.com (programme 09/2025)</t>
  </si>
  <si>
    <t xml:space="preserve">Programme trainee : débouché à vérifier</t>
  </si>
  <si>
    <t xml:space="preserve">Créer une alerte careers.te.com (Tanger, finance, intern)</t>
  </si>
  <si>
    <t xml:space="preserve">Renault Group</t>
  </si>
  <si>
    <t xml:space="preserve">Automobile</t>
  </si>
  <si>
    <t xml:space="preserve">Tanger (Melloussa)</t>
  </si>
  <si>
    <t xml:space="preserve">Contrôleur de Gestion – Performance &amp; Contrôle – Stagiaires (H/F)</t>
  </si>
  <si>
    <t xml:space="preserve">Coût de revient usine prédictif + tableau de bord KPI</t>
  </si>
  <si>
    <t xml:space="preserve">Gestion, contrôle, data ; KPI, Power BI</t>
  </si>
  <si>
    <t xml:space="preserve">Dreamjob (13/02/2026) ; iAgora</t>
  </si>
  <si>
    <t xml:space="preserve">Graduate Program Casablanca &amp; Tanger</t>
  </si>
  <si>
    <t xml:space="preserve">Campagne 2027 attendue vers février : postuler dès l'ouverture</t>
  </si>
  <si>
    <t xml:space="preserve">Tanger Med</t>
  </si>
  <si>
    <t xml:space="preserve">Port &amp; logistique</t>
  </si>
  <si>
    <t xml:space="preserve">Candidature spontanée — PFE contrôle de gestion / analyse financière</t>
  </si>
  <si>
    <t xml:space="preserve">Prévision des volumes et revenus portuaires</t>
  </si>
  <si>
    <t xml:space="preserve">—</t>
  </si>
  <si>
    <t xml:space="preserve">Dreamjob</t>
  </si>
  <si>
    <t xml:space="preserve">Déposer la candidature spontanée « Finance »</t>
  </si>
  <si>
    <t xml:space="preserve">Saham Bank</t>
  </si>
  <si>
    <t xml:space="preserve">Stagiaire PFE – Campagne 2026 – Finance / Audit / Commercial (50 postes)</t>
  </si>
  <si>
    <t xml:space="preserve">Pilotage de la rentabilité retail</t>
  </si>
  <si>
    <t xml:space="preserve">Bac+5 école d'ingénieurs ou de commerce</t>
  </si>
  <si>
    <t xml:space="preserve">Rekrute (janv.–avr. 2026)</t>
  </si>
  <si>
    <t xml:space="preserve">Surveiller la campagne 2027 (même période)</t>
  </si>
  <si>
    <t xml:space="preserve">Coface Maroc</t>
  </si>
  <si>
    <t xml:space="preserve">Assurance-crédit</t>
  </si>
  <si>
    <t xml:space="preserve">Stage PFE — Analyse financière / risque crédit (6 mois, rémunéré)</t>
  </si>
  <si>
    <t xml:space="preserve">Grille de notation des acheteurs et alertes précoces</t>
  </si>
  <si>
    <t xml:space="preserve">Finance ; SAP, Excel ; risque client</t>
  </si>
  <si>
    <t xml:space="preserve">jobs@coface.com (annonce ~2024)</t>
  </si>
  <si>
    <t xml:space="preserve">Dreamjob (~2024)</t>
  </si>
  <si>
    <t xml:space="preserve">Mail : préciser « analyse financière / risque crédit », 4 mois</t>
  </si>
  <si>
    <t xml:space="preserve">Deloitte Maroc</t>
  </si>
  <si>
    <t xml:space="preserve">Campagne stages Audit PFE (2026 ouverte en octobre 2025)</t>
  </si>
  <si>
    <t xml:space="preserve">Data analytics appliqué à l'audit</t>
  </si>
  <si>
    <t xml:space="preserve">Audit, comptabilité</t>
  </si>
  <si>
    <t xml:space="preserve">Dreamjob (10/2025)</t>
  </si>
  <si>
    <t xml:space="preserve">URGENT : la campagne 2027 devrait être ouverte, vérifier</t>
  </si>
  <si>
    <t xml:space="preserve">Automobile — supply chain</t>
  </si>
  <si>
    <t xml:space="preserve">Stage Supply Chain — Data Analyst / Data Science (6 mois)</t>
  </si>
  <si>
    <t xml:space="preserve">Prévision de la demande et tableau de bord IA des achats</t>
  </si>
  <si>
    <t xml:space="preserve">Data, BI, Excel, Power BI</t>
  </si>
  <si>
    <t xml:space="preserve">2 - Moyenne</t>
  </si>
  <si>
    <t xml:space="preserve">iAgora (03–05/2026)</t>
  </si>
  <si>
    <t xml:space="preserve">Graduate Program</t>
  </si>
  <si>
    <t xml:space="preserve">Même campagne que le contrôle de gestion</t>
  </si>
  <si>
    <t xml:space="preserve">B Technologie</t>
  </si>
  <si>
    <t xml:space="preserve">Services / conseil</t>
  </si>
  <si>
    <t xml:space="preserve">Stage PFE – Finance (H/F) – Power BI, 6 mois</t>
  </si>
  <si>
    <t xml:space="preserve">Industrialisation du reporting financier (Power BI)</t>
  </si>
  <si>
    <t xml:space="preserve">Finance, contrôle de gestion ou audit ; Power BI</t>
  </si>
  <si>
    <t xml:space="preserve">Jobsquare</t>
  </si>
  <si>
    <t xml:space="preserve">Vérifier la date et la durée (6 mois ou 4 ?)</t>
  </si>
  <si>
    <t xml:space="preserve">LabelVie (Carrefour)</t>
  </si>
  <si>
    <t xml:space="preserve">Grande distribution</t>
  </si>
  <si>
    <t xml:space="preserve">Skhirat (siège)</t>
  </si>
  <si>
    <t xml:space="preserve">Stagiaires PFE — Direction Finance</t>
  </si>
  <si>
    <t xml:space="preserve">Suivi budgétaire et contrôle des coûts</t>
  </si>
  <si>
    <t xml:space="preserve">Bac+5 finance / gestion</t>
  </si>
  <si>
    <t xml:space="preserve">Dreamjob (20/01/2026)</t>
  </si>
  <si>
    <t xml:space="preserve">Surveiller la campagne de janvier 2027</t>
  </si>
  <si>
    <t xml:space="preserve">Valeo</t>
  </si>
  <si>
    <t xml:space="preserve">Équipementier automobile</t>
  </si>
  <si>
    <t xml:space="preserve">Stage Finance (H/F)</t>
  </si>
  <si>
    <t xml:space="preserve">Automatisation du reporting et prévision du BFR</t>
  </si>
  <si>
    <t xml:space="preserve">Non détaillées</t>
  </si>
  <si>
    <t xml:space="preserve">Indeed (non daté)</t>
  </si>
  <si>
    <t xml:space="preserve">Vérifier la date sur Indeed</t>
  </si>
  <si>
    <t xml:space="preserve">Orhan Automotive</t>
  </si>
  <si>
    <t xml:space="preserve">Stage Finance – Tanger</t>
  </si>
  <si>
    <t xml:space="preserve">Analyse des écarts budgétaires</t>
  </si>
  <si>
    <t xml:space="preserve">Dans l'annonce</t>
  </si>
  <si>
    <t xml:space="preserve">Relever l'e-mail et l'objet exigé</t>
  </si>
  <si>
    <t xml:space="preserve">APM Terminals MedPort</t>
  </si>
  <si>
    <t xml:space="preserve">Campagne Stages PFE (2025)</t>
  </si>
  <si>
    <t xml:space="preserve">Revenu par EVP et productivité du terminal</t>
  </si>
  <si>
    <t xml:space="preserve">Offres : HSSE, Opérations, Lean</t>
  </si>
  <si>
    <t xml:space="preserve">Chercher une offre finance ou Lean</t>
  </si>
  <si>
    <t xml:space="preserve">SCR (Société Centrale de Réassurance)</t>
  </si>
  <si>
    <t xml:space="preserve">Réassurance</t>
  </si>
  <si>
    <t xml:space="preserve">Campagne de stages PFE 2025 (actuariat &amp; modélisation des risques)</t>
  </si>
  <si>
    <t xml:space="preserve">Modélisation des risques de réassurance</t>
  </si>
  <si>
    <t xml:space="preserve">Actuariat, modélisation</t>
  </si>
  <si>
    <t xml:space="preserve">Rekrute (2025, close)</t>
  </si>
  <si>
    <t xml:space="preserve">Surveiller la campagne 2027</t>
  </si>
  <si>
    <t xml:space="preserve">CIH Bank</t>
  </si>
  <si>
    <t xml:space="preserve">Candidature spontanée — PFE risk analytics</t>
  </si>
  <si>
    <t xml:space="preserve">Données de risque et algorithmes de scoring</t>
  </si>
  <si>
    <t xml:space="preserve">Recrute en CDI : Risk Analytics, Quant Risk</t>
  </si>
  <si>
    <t xml:space="preserve">Candidature spontanée « risques / data »</t>
  </si>
  <si>
    <t xml:space="preserve">Attijariwafa bank</t>
  </si>
  <si>
    <t xml:space="preserve">Candidature spontanée — PFE risques / finance</t>
  </si>
  <si>
    <t xml:space="preserve">Impact du provisionnement 2027 sur le coût du risque</t>
  </si>
  <si>
    <t xml:space="preserve">Recherche web</t>
  </si>
  <si>
    <t xml:space="preserve">Vérifier le portail carrières</t>
  </si>
  <si>
    <t xml:space="preserve">AXA Assurance Maroc</t>
  </si>
  <si>
    <t xml:space="preserve">Assurance</t>
  </si>
  <si>
    <t xml:space="preserve">Stagiaires études actuarielles (annonce 2022)</t>
  </si>
  <si>
    <t xml:space="preserve">Provisionnement des sinistres : Chain Ladder vs ML</t>
  </si>
  <si>
    <t xml:space="preserve">Actuariat, statistiques</t>
  </si>
  <si>
    <t xml:space="preserve">Dreamjob (2022)</t>
  </si>
  <si>
    <t xml:space="preserve">Candidature spontanée « actuariat / data »</t>
  </si>
  <si>
    <t xml:space="preserve">Wafa Assurance</t>
  </si>
  <si>
    <t xml:space="preserve">Candidature spontanée — PFE actuariat / finance-data</t>
  </si>
  <si>
    <t xml:space="preserve">Tarification auto : GLM vs XGBoost</t>
  </si>
  <si>
    <t xml:space="preserve">Recrute : actuariat, IFRS 17, data (CDI)</t>
  </si>
  <si>
    <t xml:space="preserve">Dreamjob (13/10/2026)</t>
  </si>
  <si>
    <t xml:space="preserve">Candidature spontanée</t>
  </si>
  <si>
    <t xml:space="preserve">Sanlam Maroc</t>
  </si>
  <si>
    <t xml:space="preserve">Campagne stagiaires PFE 2025 (finance, métiers de l'assurance)</t>
  </si>
  <si>
    <t xml:space="preserve">Rentabilité par branche et automatisation du reporting</t>
  </si>
  <si>
    <t xml:space="preserve">Finance ; convention de stage obligatoire</t>
  </si>
  <si>
    <t xml:space="preserve">recrutement@sanlam.ma (2023)</t>
  </si>
  <si>
    <t xml:space="preserve">Bghit-nekhdem (2025)</t>
  </si>
  <si>
    <t xml:space="preserve">Objet : Spécialité_Durée_Disponibilité</t>
  </si>
  <si>
    <t xml:space="preserve">Objet du mail : Finance_4_Février</t>
  </si>
  <si>
    <t xml:space="preserve">Allianz Maroc</t>
  </si>
  <si>
    <t xml:space="preserve">Stage PFE — Actuariat Vie &amp; Santé (2023–2024)</t>
  </si>
  <si>
    <t xml:space="preserve">Sinistralité santé et provisionnement</t>
  </si>
  <si>
    <t xml:space="preserve">Actuariat &amp; finance</t>
  </si>
  <si>
    <t xml:space="preserve">recrutement.maroc@allianz.com (2023)</t>
  </si>
  <si>
    <t xml:space="preserve">Dreamjob (04/2023)</t>
  </si>
  <si>
    <t xml:space="preserve">Candidature spontanée par e-mail</t>
  </si>
  <si>
    <t xml:space="preserve">RMA</t>
  </si>
  <si>
    <t xml:space="preserve">Candidature spontanée — PFE data</t>
  </si>
  <si>
    <t xml:space="preserve">Détection de fraude aux sinistres par ML</t>
  </si>
  <si>
    <t xml:space="preserve">Recrute : data analyst / scientist (CDI)</t>
  </si>
  <si>
    <t xml:space="preserve">Auditeur Moroccan Market — Stage PFE (F/H)</t>
  </si>
  <si>
    <t xml:space="preserve">Tests automatisés des journaux comptables</t>
  </si>
  <si>
    <t xml:space="preserve">Portail KPMG</t>
  </si>
  <si>
    <t xml:space="preserve">Vérifier que l'offre est en ligne</t>
  </si>
  <si>
    <t xml:space="preserve">BDO Maroc</t>
  </si>
  <si>
    <t xml:space="preserve">Stagiaires PFE en audit (11/2024)</t>
  </si>
  <si>
    <t xml:space="preserve">Revue analytique des comptes de PME</t>
  </si>
  <si>
    <t xml:space="preserve">Dreamjob (11/2024)</t>
  </si>
  <si>
    <t xml:space="preserve">Demander s'il existe un bureau à Tanger</t>
  </si>
  <si>
    <t xml:space="preserve">Tanger Automotive City</t>
  </si>
  <si>
    <t xml:space="preserve">Zone industrielle</t>
  </si>
  <si>
    <t xml:space="preserve">Stage finance &amp; comptabilité (Bac+2 à Bac+5)</t>
  </si>
  <si>
    <t xml:space="preserve">Factures fournisseurs, rapprochements</t>
  </si>
  <si>
    <t xml:space="preserve">3 - Basse</t>
  </si>
  <si>
    <t xml:space="preserve">Modiami (10/2026)</t>
  </si>
  <si>
    <t xml:space="preserve">Plan B local (peu de data)</t>
  </si>
  <si>
    <t xml:space="preserve">OPmobility</t>
  </si>
  <si>
    <t xml:space="preserve">Candidature spontanée — PFE supply chain / data finance</t>
  </si>
  <si>
    <t xml:space="preserve">Prévision de la demande et impact sur le BFR</t>
  </si>
  <si>
    <t xml:space="preserve">Indeed</t>
  </si>
  <si>
    <t xml:space="preserve">Surveiller Indeed</t>
  </si>
  <si>
    <t xml:space="preserve">TI Automotive</t>
  </si>
  <si>
    <t xml:space="preserve">Candidature spontanée — PFE data achats</t>
  </si>
  <si>
    <t xml:space="preserve">Tableau de bord de performance fournisseurs</t>
  </si>
  <si>
    <t xml:space="preserve">Stages publiés : achats, conception</t>
  </si>
  <si>
    <t xml:space="preserve">TRIGO Group</t>
  </si>
  <si>
    <t xml:space="preserve">Qualité automobile</t>
  </si>
  <si>
    <t xml:space="preserve">Candidature spontanée — PFE performance / data qualité</t>
  </si>
  <si>
    <t xml:space="preserve">Coûts de non-qualité</t>
  </si>
  <si>
    <t xml:space="preserve">Aucune offre trouvée</t>
  </si>
  <si>
    <t xml:space="preserve">Yazaki Maroc</t>
  </si>
  <si>
    <t xml:space="preserve">Câblage automobile</t>
  </si>
  <si>
    <t xml:space="preserve">Candidature spontanée — PFE finance</t>
  </si>
  <si>
    <t xml:space="preserve">Rentabilité par projet client</t>
  </si>
  <si>
    <t xml:space="preserve">Bank of Africa</t>
  </si>
  <si>
    <t xml:space="preserve">Candidature spontanée — PFE data / risque</t>
  </si>
  <si>
    <t xml:space="preserve">Modèles prédictifs pour les métiers</t>
  </si>
  <si>
    <t xml:space="preserve">Recrute : data scientist (5–10 ans)</t>
  </si>
  <si>
    <t xml:space="preserve">Bghit-nekhdem</t>
  </si>
  <si>
    <t xml:space="preserve">AtlantaSanad</t>
  </si>
  <si>
    <t xml:space="preserve">Candidature spontanée — PFE actuariat / data</t>
  </si>
  <si>
    <t xml:space="preserve">Prédiction des résiliations (churn)</t>
  </si>
  <si>
    <t xml:space="preserve">PwC Maroc</t>
  </si>
  <si>
    <t xml:space="preserve">Audit (fiscalité)</t>
  </si>
  <si>
    <t xml:space="preserve">Stagiaires PFE en Tax (12/2025)</t>
  </si>
  <si>
    <t xml:space="preserve">Fiscalité</t>
  </si>
  <si>
    <t xml:space="preserve">Dreamjob (12/2025)</t>
  </si>
  <si>
    <t xml:space="preserve">EY Maroc</t>
  </si>
  <si>
    <t xml:space="preserve">Candidature spontanée — PFE audit</t>
  </si>
  <si>
    <t xml:space="preserve">Revue analytique</t>
  </si>
  <si>
    <t xml:space="preserve">TelQuel (04/2026)</t>
  </si>
  <si>
    <t xml:space="preserve">Cabinet BRIMOU</t>
  </si>
  <si>
    <t xml:space="preserve">Expertise comptable</t>
  </si>
  <si>
    <t xml:space="preserve">Réseau — ton stage de 2024</t>
  </si>
  <si>
    <t xml:space="preserve">Ton maître de stage</t>
  </si>
  <si>
    <t xml:space="preserve">Ton CV</t>
  </si>
  <si>
    <t xml:space="preserve">Demander une recommandation et des contacts à Tanger</t>
  </si>
  <si>
    <t xml:space="preserve">Tableau de bord — PFE 2027</t>
  </si>
  <si>
    <t xml:space="preserve">Mis à jour automatiquement depuis la feuille « Suivi des candidatures ». Rien à saisir ici, sauf l'objectif en jaune.</t>
  </si>
  <si>
    <t xml:space="preserve">Entreprises ciblées</t>
  </si>
  <si>
    <t xml:space="preserve">Offres PFE ouvertes vérifiées</t>
  </si>
  <si>
    <t xml:space="preserve">Candidatures envoyées</t>
  </si>
  <si>
    <t xml:space="preserve">Relances à faire</t>
  </si>
  <si>
    <t xml:space="preserve">Entretiens prévus</t>
  </si>
  <si>
    <t xml:space="preserve">Stages obtenus</t>
  </si>
  <si>
    <t xml:space="preserve">Pré-embauches confirmées</t>
  </si>
  <si>
    <t xml:space="preserve">Taux de réponse</t>
  </si>
  <si>
    <t xml:space="preserve">Taux de réponse = (entretiens + refus + stages + pré-embauches) ÷ candidatures envoyées. Relances = statut « Relance à faire » + envois dont la date de relance est atteinte.</t>
  </si>
  <si>
    <t xml:space="preserve">Objectif de candidatures</t>
  </si>
  <si>
    <t xml:space="preserve">TOP 10 — À FAIRE MAINTENANT</t>
  </si>
  <si>
    <t xml:space="preserve">Action</t>
  </si>
  <si>
    <t xml:space="preserve">Quand</t>
  </si>
  <si>
    <t xml:space="preserve">Statut actuel (auto)</t>
  </si>
  <si>
    <t xml:space="preserve">1. Banque Populaire</t>
  </si>
  <si>
    <t xml:space="preserve">Postuler au Stage PFE 2027 sur le portail (Risques ou Data) — CV C</t>
  </si>
  <si>
    <t xml:space="preserve">Cette semaine</t>
  </si>
  <si>
    <t xml:space="preserve">2. Coface DataLab</t>
  </si>
  <si>
    <t xml:space="preserve">Postuler aux Stages PFE 2026/2027 (pré-embauche) — CV A</t>
  </si>
  <si>
    <t xml:space="preserve">3. Forvis Mazars</t>
  </si>
  <si>
    <t xml:space="preserve">Postuler (auditeur financier) et demander un démarrage le 01/02 — CV D</t>
  </si>
  <si>
    <t xml:space="preserve">4. Expleo</t>
  </si>
  <si>
    <t xml:space="preserve">Écrire à ton ex-tuteur : proposer un PFE sur la prévision</t>
  </si>
  <si>
    <t xml:space="preserve">5. Crédit du Maroc</t>
  </si>
  <si>
    <t xml:space="preserve">Vérifier l'offre « Analyste d'affaires Tanger/Tétouan » et postuler</t>
  </si>
  <si>
    <t xml:space="preserve">Semaine prochaine</t>
  </si>
  <si>
    <t xml:space="preserve">6. KPMG</t>
  </si>
  <si>
    <t xml:space="preserve">Vérifier l'offre « Consultant Risque Crédit (FRM) »</t>
  </si>
  <si>
    <t xml:space="preserve">7. Deloitte</t>
  </si>
  <si>
    <t xml:space="preserve">Vérifier l'ouverture de la campagne audit PFE 2027</t>
  </si>
  <si>
    <t xml:space="preserve">8. Tanger Med</t>
  </si>
  <si>
    <t xml:space="preserve">Déposer une candidature spontanée « Finance » — CV B</t>
  </si>
  <si>
    <t xml:space="preserve">Novembre</t>
  </si>
  <si>
    <t xml:space="preserve">9. Coface Maroc</t>
  </si>
  <si>
    <t xml:space="preserve">Mail à jobs@coface.com : PFE analyse financière / risque crédit</t>
  </si>
  <si>
    <t xml:space="preserve">10. Renault Tanger</t>
  </si>
  <si>
    <t xml:space="preserve">Créer une alerte : campagne PFE attendue vers février</t>
  </si>
  <si>
    <t xml:space="preserve">Janvier</t>
  </si>
  <si>
    <t xml:space="preserve">Nombre</t>
  </si>
  <si>
    <t xml:space="preserve">Version de CV</t>
  </si>
  <si>
    <t xml:space="preserve">Pistes</t>
  </si>
  <si>
    <t xml:space="preserve">Envoyées</t>
  </si>
  <si>
    <t xml:space="preserve">Candidature envoyée</t>
  </si>
  <si>
    <t xml:space="preserve">Relance à faire</t>
  </si>
  <si>
    <t xml:space="preserve">Entretien prévu</t>
  </si>
  <si>
    <t xml:space="preserve">En attente</t>
  </si>
  <si>
    <t xml:space="preserve">Refus</t>
  </si>
  <si>
    <t xml:space="preserve">Stage obtenu</t>
  </si>
  <si>
    <t xml:space="preserve">Pré-embauche confirmée</t>
  </si>
  <si>
    <t xml:space="preserve">Adaptation des CV — 4 versions</t>
  </si>
  <si>
    <t xml:space="preserve">Construit uniquement à partir de ton CV actuel. Aucune compétence ajoutée.</t>
  </si>
  <si>
    <t xml:space="preserve">CV A
Data Science, IA &amp; ML</t>
  </si>
  <si>
    <t xml:space="preserve">CV B
Finance, FP&amp;A &amp; contrôle de gestion</t>
  </si>
  <si>
    <t xml:space="preserve">CV C
Risque, assurance, crédit &amp; actuariat</t>
  </si>
  <si>
    <t xml:space="preserve">CV D
Audit, analyse financière &amp; reporting</t>
  </si>
  <si>
    <t xml:space="preserve">Titre recommandé</t>
  </si>
  <si>
    <t xml:space="preserve">Élève ingénieure en génie financier — Data Science &amp; IA appliquées à la finance</t>
  </si>
  <si>
    <t xml:space="preserve">Élève ingénieure en génie financier — FP&amp;A &amp; contrôle de gestion</t>
  </si>
  <si>
    <t xml:space="preserve">Élève ingénieure en génie financier (Actuariat &amp; Finance) — Risque de crédit &amp; modélisation</t>
  </si>
  <si>
    <t xml:space="preserve">Élève ingénieure en génie financier — Analyse financière, audit &amp; reporting</t>
  </si>
  <si>
    <t xml:space="preserve">Compétences à mettre en avant</t>
  </si>
  <si>
    <t xml:space="preserve">• Python : pandas, scikit-learn, XGBoost, SHAP, PyMC
• Machine learning, séries temporelles
• Statistiques, R
• Streamlit, Git/GitHub, pytest</t>
  </si>
  <si>
    <t xml:space="preserve">• FP&amp;A, contrôle de gestion
• Analyse des écarts budgétaires
• Reporting, modélisation financière
• Excel avancé, Power BI</t>
  </si>
  <si>
    <t xml:space="preserve">• Gestion des risques financiers
• Credit scoring (ML)
• Monte Carlo / LSMC, optimisation de portefeuille
• Python, R, statistiques</t>
  </si>
  <si>
    <t xml:space="preserve">• Analyse financière (ratios, structure)
• Comptabilité générale
• Audit interne, contrôle interne
• Excel avancé, Power BI</t>
  </si>
  <si>
    <t xml:space="preserve">Projets et expériences (dans cet ordre)</t>
  </si>
  <si>
    <t xml:space="preserve">1. Expleo : prévision XGBoost (MAPE de 5,26 % à 2,39 %), SHAP, 33 tests
2. Credit scoring par ML
3. LSMC + PyPortfolioOpt</t>
  </si>
  <si>
    <t xml:space="preserve">1. Expleo : tableau de bord Budget vs Réalisé, écarts, export Power BI
2. Montage financier (VAN, TRI, WACC, DSCR)
3. Analyse financière d'entreprises
4. Cabinet BRIMOU</t>
  </si>
  <si>
    <t xml:space="preserve">1. Credit scoring par ML
2. Expleo : modèle prédictif + SHAP
3. LSMC + portefeuille
4. Montage financier : DSCR, stress tests
5. Certifications UIUC (Risk Management, RiskWise)</t>
  </si>
  <si>
    <t xml:space="preserve">1. Cabinet BRIMOU : comptabilité, constitution de sociétés
2. Analyse financière d'entreprises
3. Expleo : reporting et écarts
4. DGI Tanger : dossiers fiscaux</t>
  </si>
  <si>
    <t xml:space="preserve">Mots-clés ATS</t>
  </si>
  <si>
    <t xml:space="preserve">machine learning, data science, Python, XGBoost, SHAP, prévision, séries temporelles, modèle prédictif, pipeline, Power BI, IA</t>
  </si>
  <si>
    <t xml:space="preserve">FP&amp;A, contrôle de gestion, budget, forecast, Budget vs Réalisé, analyse des écarts, reporting, KPI, tableau de bord, Power BI, BFR</t>
  </si>
  <si>
    <t xml:space="preserve">risque de crédit, credit scoring, probabilité de défaut, modélisation, gestion des risques, actuariat, Monte Carlo, stress test, assurance</t>
  </si>
  <si>
    <t xml:space="preserve">audit, analyse financière, états financiers, ratios, comptabilité générale, contrôle interne, reporting financier, fiscalité</t>
  </si>
  <si>
    <t xml:space="preserve">À réduire ou reformuler</t>
  </si>
  <si>
    <t xml:space="preserve">Retirer la marque cosmétique, réduire la DGI à 1 ligne. Laisser l'anglais à « intermédiaire ».</t>
  </si>
  <si>
    <t xml:space="preserve">Réduire LSMC et PyMC. Présenter Expleo par ses résultats métier, pas par ses outils.</t>
  </si>
  <si>
    <t xml:space="preserve">Retirer la marque cosmétique. Ne pas citer IFRS 17 ni Solvabilité (absents de ton CV).</t>
  </si>
  <si>
    <t xml:space="preserve">Réduire le détail ML. Développer BRIMOU et la DGI en tâches concrètes.</t>
  </si>
  <si>
    <t xml:space="preserve">Cibles</t>
  </si>
  <si>
    <t xml:space="preserve">Coface DataLab, Expleo, RMA, Renault (data), Bank of Africa</t>
  </si>
  <si>
    <t xml:space="preserve">TE, Renault, COFICAB, Valeo, Tanger Med, Saham Bank, LabelVie, B Technologie</t>
  </si>
  <si>
    <t xml:space="preserve">BCP, Crédit du Maroc, KPMG (risque crédit), Coface, CIH, SCR, AXA, Wafa, Sanlam, Allianz</t>
  </si>
  <si>
    <t xml:space="preserve">Forvis Mazars, Deloitte, KPMG, BDO, EY, PwC</t>
  </si>
  <si>
    <t xml:space="preserve">À appliquer à toutes les versions</t>
  </si>
  <si>
    <t xml:space="preserve">•  CV d'1 page. Nom de fichier : CV_FZ_Chakib_PFE2027_A.pdf (B, C ou D selon la version).</t>
  </si>
  <si>
    <t xml:space="preserve">•  Sous le nom, ajouter : « Stage PFE 4 mois — 01/02/2027 → 31/05/2027 — ouverte à une pré-embauche ».</t>
  </si>
  <si>
    <t xml:space="preserve">•  Chaque puce commence par un verbe d'action et donne un résultat chiffré.</t>
  </si>
  <si>
    <t xml:space="preserve">•  Mettre le lien GitHub sur les CV A et C.</t>
  </si>
  <si>
    <t xml:space="preserve">Contacts et liens utiles</t>
  </si>
  <si>
    <t xml:space="preserve">Seulement des coordonnées publiées. Aucun nom de recruteur n'est public : cherche « Talent Acquisition [entreprise] Maroc » sur LinkedIn.</t>
  </si>
  <si>
    <t xml:space="preserve">1. E-MAILS PUBLIÉS (à reconfirmer avant envoi)</t>
  </si>
  <si>
    <t xml:space="preserve">Type</t>
  </si>
  <si>
    <t xml:space="preserve">E-mail / adresse</t>
  </si>
  <si>
    <t xml:space="preserve">Fiabilité</t>
  </si>
  <si>
    <t xml:space="preserve">Candidature</t>
  </si>
  <si>
    <t xml:space="preserve">jobs@coface.com</t>
  </si>
  <si>
    <t xml:space="preserve">À reconfirmer</t>
  </si>
  <si>
    <t xml:space="preserve">Annonce PFE ~2024</t>
  </si>
  <si>
    <t xml:space="preserve">recrutement.maroc@allianz.com</t>
  </si>
  <si>
    <t xml:space="preserve">Annonce 04/2023</t>
  </si>
  <si>
    <t xml:space="preserve">recrutement@sanlam.ma</t>
  </si>
  <si>
    <t xml:space="preserve">Annonce 06/2023</t>
  </si>
  <si>
    <t xml:space="preserve">Adresse</t>
  </si>
  <si>
    <t xml:space="preserve">225 bd d'Anfa, 20250 Casablanca</t>
  </si>
  <si>
    <t xml:space="preserve">Publiée</t>
  </si>
  <si>
    <t xml:space="preserve">Annonce DataLab</t>
  </si>
  <si>
    <t xml:space="preserve">2. PORTAILS OFFICIELS</t>
  </si>
  <si>
    <t xml:space="preserve">Remarque</t>
  </si>
  <si>
    <t xml:space="preserve">Lien</t>
  </si>
  <si>
    <t xml:space="preserve">Portail candidatures</t>
  </si>
  <si>
    <t xml:space="preserve">Stage PFE 2027 (Bac+5)</t>
  </si>
  <si>
    <t xml:space="preserve">Officiel</t>
  </si>
  <si>
    <t xml:space="preserve">Portail carrières</t>
  </si>
  <si>
    <t xml:space="preserve">Offres PFE</t>
  </si>
  <si>
    <t xml:space="preserve">Filtre Tanger</t>
  </si>
  <si>
    <t xml:space="preserve">Portail stages</t>
  </si>
  <si>
    <t xml:space="preserve">Stages &amp; alternance Maroc</t>
  </si>
  <si>
    <t xml:space="preserve">Coface</t>
  </si>
  <si>
    <t xml:space="preserve">Offres Indeed</t>
  </si>
  <si>
    <t xml:space="preserve">DataLab, CDI data</t>
  </si>
  <si>
    <t xml:space="preserve">Plateforme</t>
  </si>
  <si>
    <t xml:space="preserve">Expleo</t>
  </si>
  <si>
    <t xml:space="preserve">Carrières</t>
  </si>
  <si>
    <t xml:space="preserve">Site officiel</t>
  </si>
  <si>
    <t xml:space="preserve">Rubrique Talents</t>
  </si>
  <si>
    <t xml:space="preserve">AXA Maroc</t>
  </si>
  <si>
    <t xml:space="preserve">Carrières Maroc</t>
  </si>
  <si>
    <t xml:space="preserve">3. PLATEFORMES D'OFFRES (créer des alertes « PFE » + finance / data / Tanger)</t>
  </si>
  <si>
    <t xml:space="preserve">Conseil</t>
  </si>
  <si>
    <t xml:space="preserve">ReKrute</t>
  </si>
  <si>
    <t xml:space="preserve">Emploi</t>
  </si>
  <si>
    <t xml:space="preserve">Alertes : stage PFE finance, data, actuariat</t>
  </si>
  <si>
    <t xml:space="preserve">Indeed Maroc</t>
  </si>
  <si>
    <t xml:space="preserve">« stage PFE » Tanger et Casablanca</t>
  </si>
  <si>
    <t xml:space="preserve">LinkedIn</t>
  </si>
  <si>
    <t xml:space="preserve">Réseau</t>
  </si>
  <si>
    <t xml:space="preserve">Alertes + messages aux RH</t>
  </si>
  <si>
    <t xml:space="preserve">PFE Daba</t>
  </si>
  <si>
    <t xml:space="preserve">Agrégateur PFE</t>
  </si>
  <si>
    <t xml:space="preserve">Filtrer par ville et domaine</t>
  </si>
  <si>
    <t xml:space="preserve">InteractJob</t>
  </si>
  <si>
    <t xml:space="preserve">Agrégateur</t>
  </si>
  <si>
    <t xml:space="preserve">Stages Maroc 2027</t>
  </si>
  <si>
    <t xml:space="preserve">Dreamjob.ma</t>
  </si>
  <si>
    <t xml:space="preserve">Rubrique Stages</t>
  </si>
  <si>
    <t xml:space="preserve">iAgora</t>
  </si>
  <si>
    <t xml:space="preserve">Stages</t>
  </si>
  <si>
    <t xml:space="preserve">Offres Renault Tanger</t>
  </si>
  <si>
    <t xml:space="preserve">Offres Tanger</t>
  </si>
  <si>
    <t xml:space="preserve">4. AGENCES D'ASSURANCE À TANGER (candidature spontanée, liste fournie par toi, non vérifiée)</t>
  </si>
  <si>
    <t xml:space="preserve">Agence</t>
  </si>
  <si>
    <t xml:space="preserve">Tanger Assurances Conseil</t>
  </si>
  <si>
    <t xml:space="preserve">Place des Nations, 16 rue Antaki, Tanger</t>
  </si>
  <si>
    <t xml:space="preserve">Sanlam Assurance</t>
  </si>
  <si>
    <t xml:space="preserve">Sanlam</t>
  </si>
  <si>
    <t xml:space="preserve">1, avenue Moulay Ismaïl, Tanger</t>
  </si>
  <si>
    <t xml:space="preserve">Bleu Assurances</t>
  </si>
  <si>
    <t xml:space="preserve">Route de Rabat, Tanger</t>
  </si>
  <si>
    <t xml:space="preserve">Fatmi Alaoui Assurances</t>
  </si>
  <si>
    <t xml:space="preserve">Secteur Tanja El Balia, Tanger</t>
  </si>
  <si>
    <t xml:space="preserve">EMSI Tanger</t>
  </si>
  <si>
    <t xml:space="preserve">Ton école</t>
  </si>
  <si>
    <t xml:space="preserve">Service stages / relations entreprises</t>
  </si>
  <si>
    <t xml:space="preserve">Sources</t>
  </si>
  <si>
    <t xml:space="preserve">Recherche du 29/10/2026. Les agrégateurs relaient des offres : confirmer sur le site de l'entreprise.</t>
  </si>
  <si>
    <t xml:space="preserve">Banque Populaire (BCP) — Stage PFE 2027 (Bac+5) H/F — candidatures spontané</t>
  </si>
  <si>
    <t xml:space="preserve">https://bcp-cand.talent-soft.com/offre-de-emploi/emploi-candidatures-spontanees-stage-pfe-2027-bac-5-h-f_1672.aspx</t>
  </si>
  <si>
    <t xml:space="preserve">Coface — DataLab — Stages PFE 2026/2027 – DataLab (Pré-Embauche)</t>
  </si>
  <si>
    <t xml:space="preserve">https://ma.indeed.com/cmp/Coface/jobs</t>
  </si>
  <si>
    <t xml:space="preserve">Forvis Mazars — Stage de fin d'études — Auditeur financier (non se</t>
  </si>
  <si>
    <t xml:space="preserve">https://ma.indeed.com/Maroc-emplois-Stage-Finance</t>
  </si>
  <si>
    <t xml:space="preserve">Crédit du Maroc — Stage PFE – Analyste d'affaires</t>
  </si>
  <si>
    <t xml:space="preserve">https://carriere.creditdumaroc.ma/offre-de-emploi/emploi-stage-pfe-analyste-d-affaires-grand-casablanca-el-jadida-rabat-kenitra-temara-tanger-tetouan_3197.aspx</t>
  </si>
  <si>
    <t xml:space="preserve">Crédit du Maroc — Campagne stagiaires PFE (Data &amp; Business Analysis,</t>
  </si>
  <si>
    <t xml:space="preserve">https://carriere.creditdumaroc.ma/Pages/Offre/detailoffre.aspx?LCID=1036&amp;idOffre=3211&amp;idOrigine=502&amp;offerReference=2025-3211</t>
  </si>
  <si>
    <t xml:space="preserve">KPMG Maroc — Stage PFE — Consultant Risque Crédit (FRM)</t>
  </si>
  <si>
    <t xml:space="preserve">https://emplois-afrique.kpmg.com/stage-alternance-maroc</t>
  </si>
  <si>
    <t xml:space="preserve">Expleo Group — Candidature directe — PFE FP&amp;A / data finance</t>
  </si>
  <si>
    <t xml:space="preserve">https://expleo.com/global/en/careers/</t>
  </si>
  <si>
    <t xml:space="preserve">COFICAB Maroc — PFE Book : audit &amp; contrôle de gestion, gestion fi</t>
  </si>
  <si>
    <t xml:space="preserve">https://bghit-nekhdem.com/coficab-recrute-des-stagiaires-pfe-2025-decouvrez-les-projets-disponibles/</t>
  </si>
  <si>
    <t xml:space="preserve">TE Connectivity — Finance Development Program Trainee (m/f/d) — TNG-</t>
  </si>
  <si>
    <t xml:space="preserve">https://careers.te.com/job/Tanger-Finance-Development-Program-Trainee-%28mfd%29-TNG-9000/1259786700</t>
  </si>
  <si>
    <t xml:space="preserve">Renault Group — Contrôleur de Gestion – Performance &amp; Contrôle – S</t>
  </si>
  <si>
    <t xml:space="preserve">https://www.iagora.com/work/fr/offre/stage-maroc-management/5984409</t>
  </si>
  <si>
    <t xml:space="preserve">Tanger Med — Candidature spontanée — PFE contrôle de gestion / </t>
  </si>
  <si>
    <t xml:space="preserve">https://www.dreamjob.ma/emploi/tanger-med-port-authority-candidature-spontanee/</t>
  </si>
  <si>
    <t xml:space="preserve">Saham Bank — Stagiaire PFE – Campagne 2026 – Finance / Audit / </t>
  </si>
  <si>
    <t xml:space="preserve">https://www.rekrute.com/offre-emploi-stagiaire-pfe---campagne-2026-hf---finance-audit---commercial-recrutement-saham-bank-casablanca-178707.html</t>
  </si>
  <si>
    <t xml:space="preserve">Coface Maroc — Stage PFE — Analyse financière / risque crédit (6 </t>
  </si>
  <si>
    <t xml:space="preserve">https://www.dreamjob.ma/stage/coface-recrute-stagiaires/</t>
  </si>
  <si>
    <t xml:space="preserve">Deloitte Maroc — Campagne stages Audit PFE (2026 ouverte en octobre</t>
  </si>
  <si>
    <t xml:space="preserve">https://www.dreamjob.ma/stage/deloitte-maroc-lance-sa-campagne-de-stages-audit-pfe-2026/</t>
  </si>
  <si>
    <t xml:space="preserve">Renault Group — Stage Supply Chain — Data Analyst / Data Science (</t>
  </si>
  <si>
    <t xml:space="preserve">https://www.iagora.com/work/fr/offre/stage-maroc-achats/5678271</t>
  </si>
  <si>
    <t xml:space="preserve">B Technologie — Stage PFE – Finance (H/F) – Power BI, 6 mois</t>
  </si>
  <si>
    <t xml:space="preserve">https://www.jobsquare.ma/job/18100/stage-pfe-finance-h-f-power-bi-6-mois-casablanca/</t>
  </si>
  <si>
    <t xml:space="preserve">LabelVie (Carrefour) — Stagiaires PFE — Direction Finance</t>
  </si>
  <si>
    <t xml:space="preserve">https://www.dreamjob.ma/stage/stages-pfe-a-saisir-chez-labelvie-a-skhirat/</t>
  </si>
  <si>
    <t xml:space="preserve">Valeo — Stage Finance (H/F)</t>
  </si>
  <si>
    <t xml:space="preserve">https://ma.indeed.com/cmp/Valeo-Maroc/about</t>
  </si>
  <si>
    <t xml:space="preserve">Orhan Automotive — Stage Finance – Tanger</t>
  </si>
  <si>
    <t xml:space="preserve">https://www.dreamjob.ma/stage/orhan-automotive-lance-une-campagne-de-recrutement-de-stagiaires-a-tanger/</t>
  </si>
  <si>
    <t xml:space="preserve">APM Terminals MedPort — Campagne Stages PFE (2025)</t>
  </si>
  <si>
    <t xml:space="preserve">https://www.dreamjob.ma/a-la-une/stages-ouverts-a-tanger-med-chez-apm-terminals/</t>
  </si>
  <si>
    <t xml:space="preserve">SCR (Société Centrale de Réassurance) — Campagne de stages PFE 2025 (actuariat &amp; modélisat</t>
  </si>
  <si>
    <t xml:space="preserve">https://www.rekrute.com/offre-emploi-lancement-campagne-de-stages-pfe-2025-recrutement-scr-maroc-casablanca-167765.html</t>
  </si>
  <si>
    <t xml:space="preserve">CIH Bank — Candidature spontanée — PFE risk analytics</t>
  </si>
  <si>
    <t xml:space="preserve">https://www.dreamjob.ma/emploi/cih-bank-recrute-des-analystes-risques/</t>
  </si>
  <si>
    <t xml:space="preserve">Attijariwafa bank — Candidature spontanée — PFE risques / finance</t>
  </si>
  <si>
    <t xml:space="preserve">https://www.attijariwafabank.com</t>
  </si>
  <si>
    <t xml:space="preserve">AXA Assurance Maroc — Stagiaires études actuarielles (annonce 2022)</t>
  </si>
  <si>
    <t xml:space="preserve">https://www.dreamjob.ma/stage/axa-assurance-recrutement-stagiaires/</t>
  </si>
  <si>
    <t xml:space="preserve">Wafa Assurance — Candidature spontanée — PFE actuariat / finance-da</t>
  </si>
  <si>
    <t xml:space="preserve">https://www.dreamjob.ma/emploi/finance-data-et-it-wafa-assurance-recrute-a-casablanca-et-fes/</t>
  </si>
  <si>
    <t xml:space="preserve">Sanlam Maroc — Campagne stagiaires PFE 2025 (finance, métiers de </t>
  </si>
  <si>
    <t xml:space="preserve">https://bghit-nekhdem.com/sanlam-maroc-lance-sa-campagne-de-recrutement-de-stagiaires-pfe-2025/</t>
  </si>
  <si>
    <t xml:space="preserve">Allianz Maroc — Stage PFE — Actuariat Vie &amp; Santé (2023–2024)</t>
  </si>
  <si>
    <t xml:space="preserve">https://www.dreamjob.ma/stage/allianz-assurances-recrute-stagiaires-actuariat-vie-sante/</t>
  </si>
  <si>
    <t xml:space="preserve">RMA — Candidature spontanée — PFE data</t>
  </si>
  <si>
    <t xml:space="preserve">https://www.dreamjob.ma/emploi/opportunites-a-saisir-chez-rma-a-casablanca/</t>
  </si>
  <si>
    <t xml:space="preserve">KPMG Maroc — Auditeur Moroccan Market — Stage PFE (F/H)</t>
  </si>
  <si>
    <t xml:space="preserve">https://emplois-afrique.kpmg.com/emploi/casablanca/auditeur-moroccan-market-stage-pfe-f-h/3358/31698089856</t>
  </si>
  <si>
    <t xml:space="preserve">BDO Maroc — Stagiaires PFE en audit (11/2024)</t>
  </si>
  <si>
    <t xml:space="preserve">https://www.dreamjob.ma/stage/bdo-maroc-recherche-des-stagiaires-pfe-en-audit/</t>
  </si>
  <si>
    <t xml:space="preserve">Tanger Automotive City — Stage finance &amp; comptabilité (Bac+2 à Bac+5)</t>
  </si>
  <si>
    <t xml:space="preserve">https://www.modiami.com/2026/10/offres-demploi-et-stages-tanger-2026.html</t>
  </si>
  <si>
    <t xml:space="preserve">OPmobility — Candidature spontanée — PFE supply chain / data fi</t>
  </si>
  <si>
    <t xml:space="preserve">https://ma.indeed.com/cmp/Opmobility/jobs</t>
  </si>
  <si>
    <t xml:space="preserve">TI Automotive — Candidature spontanée — PFE data achats</t>
  </si>
  <si>
    <t xml:space="preserve">https://www.dreamjob.ma/emploi/ti-fluid-systems-recrute-plusieurs-postes/</t>
  </si>
  <si>
    <t xml:space="preserve">TRIGO Group — Candidature spontanée — PFE performance / data qua</t>
  </si>
  <si>
    <t xml:space="preserve">https://www.trigo-group.com</t>
  </si>
  <si>
    <t xml:space="preserve">Yazaki Maroc — Candidature spontanée — PFE finance</t>
  </si>
  <si>
    <t xml:space="preserve">https://www.dreamjob.ma/emploi/yazaki-maroc-recrute/</t>
  </si>
  <si>
    <t xml:space="preserve">Bank of Africa — Candidature spontanée — PFE data / risque</t>
  </si>
  <si>
    <t xml:space="preserve">https://bghit-nekhdem.com/plusieurs-opportunites-a-saisir-chez-bank-of-africa/</t>
  </si>
  <si>
    <t xml:space="preserve">AtlantaSanad — Candidature spontanée — PFE actuariat / data</t>
  </si>
  <si>
    <t xml:space="preserve">https://www.atlantasanad.ma</t>
  </si>
  <si>
    <t xml:space="preserve">PwC Maroc — Stagiaires PFE en Tax (12/2025)</t>
  </si>
  <si>
    <t xml:space="preserve">https://www.dreamjob.ma/emploi/stagiaires-pfe-en-tax-recherches-par-pwc-maroc/</t>
  </si>
  <si>
    <t xml:space="preserve">EY Maroc — Candidature spontanée — PFE audit</t>
  </si>
  <si>
    <t xml:space="preserve">https://www.ey.com</t>
  </si>
  <si>
    <t xml:space="preserve">BCP PFE 2027 — Alwadifa</t>
  </si>
  <si>
    <t xml:space="preserve">https://alwadifa-maroc.com/offre/show/id/23355</t>
  </si>
  <si>
    <t xml:space="preserve">BCP PFE 2027 — MarocWorks</t>
  </si>
  <si>
    <t xml:space="preserve">https://www.marocworks.com/fr/jobs/groupe-banque-populaire-stages-projets-de-fin-d-2027</t>
  </si>
  <si>
    <t xml:space="preserve">Coface DataLab pré-embauche — Africarrières</t>
  </si>
  <si>
    <t xml:space="preserve">https://africarrieres.com/ghana/en/emplois/stages-pfe-20262027-datalab-pre-embauche</t>
  </si>
  <si>
    <t xml:space="preserve">Coface Data &amp; IA — Dreamjob (26/10/2026)</t>
  </si>
  <si>
    <t xml:space="preserve">https://www.dreamjob.ma/stage/coface-ouvre-des-stages-en-data-et-intelligence-artificielle-a-casablanca/</t>
  </si>
  <si>
    <t xml:space="preserve">Guide PFE Maroc 2027 — UIR</t>
  </si>
  <si>
    <t xml:space="preserve">https://uirmag.uir.ac.ma/article/stage-pfe-maroc-2027</t>
  </si>
  <si>
    <t xml:space="preserve">Guide PFE Maroc — Jobsquare</t>
  </si>
  <si>
    <t xml:space="preserve">https://www.jobsquare.ma/blog/guide-stage-pfe-maroc/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</si>
</sst>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%"/>
    <numFmt numFmtId="168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CBD5E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9"/>
      <color rgb="FF0F172A"/>
      <name val="Arial"/>
      <family val="0"/>
      <charset val="1"/>
    </font>
    <font>
      <b val="true"/>
      <u val="single"/>
      <sz val="9"/>
      <color rgb="FF1D4ED8"/>
      <name val="Arial"/>
      <family val="0"/>
      <charset val="1"/>
    </font>
    <font>
      <sz val="10"/>
      <name val="Arial"/>
      <family val="2"/>
    </font>
    <font>
      <b val="true"/>
      <sz val="26"/>
      <color rgb="FFFFFFFF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0F172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B91C1C"/>
      <name val="Arial"/>
      <family val="0"/>
      <charset val="1"/>
    </font>
    <font>
      <sz val="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F76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9"/>
      <color rgb="FF1D4ED8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334155"/>
        <bgColor rgb="FF475569"/>
      </patternFill>
    </fill>
    <fill>
      <patternFill patternType="solid">
        <fgColor rgb="FF7C3AED"/>
        <bgColor rgb="FF1D4ED8"/>
      </patternFill>
    </fill>
    <fill>
      <patternFill patternType="solid">
        <fgColor rgb="FFB45309"/>
        <bgColor rgb="FFC2410C"/>
      </patternFill>
    </fill>
    <fill>
      <patternFill patternType="solid">
        <fgColor rgb="FF1D4ED8"/>
        <bgColor rgb="FF2563EB"/>
      </patternFill>
    </fill>
    <fill>
      <patternFill patternType="solid">
        <fgColor rgb="FF15803D"/>
        <bgColor rgb="FF0F766E"/>
      </patternFill>
    </fill>
    <fill>
      <patternFill patternType="solid">
        <fgColor rgb="FF0F766E"/>
        <bgColor rgb="FF15803D"/>
      </patternFill>
    </fill>
    <fill>
      <patternFill patternType="solid">
        <fgColor rgb="FF16A34A"/>
        <bgColor rgb="FF15803D"/>
      </patternFill>
    </fill>
    <fill>
      <patternFill patternType="solid">
        <fgColor rgb="FF2563EB"/>
        <bgColor rgb="FF1D4ED8"/>
      </patternFill>
    </fill>
    <fill>
      <patternFill patternType="solid">
        <fgColor rgb="FFEA580C"/>
        <bgColor rgb="FFC2410C"/>
      </patternFill>
    </fill>
    <fill>
      <patternFill patternType="solid">
        <fgColor rgb="FF22C55E"/>
        <bgColor rgb="FF16A34A"/>
      </patternFill>
    </fill>
    <fill>
      <patternFill patternType="solid">
        <fgColor rgb="FFFEF08A"/>
        <bgColor rgb="FFFDE68A"/>
      </patternFill>
    </fill>
    <fill>
      <patternFill patternType="solid">
        <fgColor rgb="FFE2E8F0"/>
        <bgColor rgb="FFDBEAFE"/>
      </patternFill>
    </fill>
    <fill>
      <patternFill patternType="solid">
        <fgColor rgb="FFC2410C"/>
        <bgColor rgb="FFB4530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4">
    <dxf>
      <fill>
        <patternFill patternType="solid">
          <fgColor rgb="FF3341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ACC15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ont>
        <b val="1"/>
        <color rgb="FFFFFFFF"/>
      </font>
      <fill>
        <patternFill>
          <bgColor rgb="FF15803D"/>
        </patternFill>
      </fill>
    </dxf>
    <dxf>
      <font>
        <b val="1"/>
        <color rgb="FFFFFFFF"/>
      </font>
      <fill>
        <patternFill>
          <bgColor rgb="FF22C55E"/>
        </patternFill>
      </fill>
    </dxf>
    <dxf>
      <font>
        <b val="1"/>
        <color rgb="FFFFFFFF"/>
      </font>
      <fill>
        <patternFill>
          <bgColor rgb="FF7C3AED"/>
        </patternFill>
      </fill>
    </dxf>
    <dxf>
      <font>
        <b val="1"/>
        <color rgb="FFFFFFFF"/>
      </font>
      <fill>
        <patternFill>
          <bgColor rgb="FFEA580C"/>
        </patternFill>
      </fill>
    </dxf>
    <dxf>
      <font>
        <b val="1"/>
        <color rgb="FFFFFFFF"/>
      </font>
      <fill>
        <patternFill>
          <bgColor rgb="FF2563EB"/>
        </patternFill>
      </fill>
    </dxf>
    <dxf>
      <font>
        <b val="1"/>
        <color rgb="FFFFFFFF"/>
      </font>
      <fill>
        <patternFill>
          <bgColor rgb="FF0EA5E9"/>
        </patternFill>
      </fill>
    </dxf>
    <dxf>
      <font>
        <b val="1"/>
        <color rgb="FFFFFFFF"/>
      </font>
      <fill>
        <patternFill>
          <bgColor rgb="FF9CA3AF"/>
        </patternFill>
      </fill>
    </dxf>
    <dxf>
      <font>
        <b val="1"/>
        <color rgb="FF0F172A"/>
      </font>
      <fill>
        <patternFill>
          <bgColor rgb="FFFACC15"/>
        </patternFill>
      </fill>
    </dxf>
    <dxf>
      <font>
        <b val="1"/>
        <color rgb="FF0F172A"/>
      </font>
      <fill>
        <patternFill>
          <bgColor rgb="FFFDE68A"/>
        </patternFill>
      </fill>
    </dxf>
    <dxf>
      <font>
        <b val="1"/>
        <color rgb="FF475569"/>
      </font>
      <fill>
        <patternFill>
          <bgColor rgb="FFE2E8F0"/>
        </patternFill>
      </fill>
    </dxf>
    <dxf>
      <font>
        <strike val="0"/>
      </font>
      <fill>
        <patternFill>
          <bgColor rgb="FFDCFCE7"/>
        </patternFill>
      </fill>
    </dxf>
    <dxf>
      <font>
        <strike val="0"/>
      </font>
      <fill>
        <patternFill>
          <bgColor rgb="FFF0FDF4"/>
        </patternFill>
      </fill>
    </dxf>
    <dxf>
      <font>
        <strike val="0"/>
      </font>
      <fill>
        <patternFill>
          <bgColor rgb="FFF5F3FF"/>
        </patternFill>
      </fill>
    </dxf>
    <dxf>
      <font>
        <strike val="0"/>
      </font>
      <fill>
        <patternFill>
          <bgColor rgb="FFFFF7ED"/>
        </patternFill>
      </fill>
    </dxf>
    <dxf>
      <font>
        <strike val="0"/>
      </font>
      <fill>
        <patternFill>
          <bgColor rgb="FFEFF6FF"/>
        </patternFill>
      </fill>
    </dxf>
    <dxf>
      <font>
        <strike val="0"/>
      </font>
      <fill>
        <patternFill>
          <bgColor rgb="FFF0F9FF"/>
        </patternFill>
      </fill>
    </dxf>
    <dxf>
      <font>
        <strike val="1"/>
      </font>
      <fill>
        <patternFill>
          <bgColor rgb="FFF3F4F6"/>
        </patternFill>
      </fill>
    </dxf>
    <dxf>
      <font>
        <b val="1"/>
        <color rgb="FFFFFFFF"/>
      </font>
      <fill>
        <patternFill>
          <bgColor rgb="FFDC2626"/>
        </patternFill>
      </fill>
    </dxf>
    <dxf>
      <font>
        <b val="1"/>
        <color rgb="FFB91C1C"/>
      </font>
      <fill>
        <patternFill>
          <bgColor rgb="FFFEE2E2"/>
        </patternFill>
      </fill>
    </dxf>
    <dxf>
      <font>
        <b val="1"/>
        <color rgb="FFB45309"/>
      </font>
      <fill>
        <patternFill>
          <bgColor rgb="FFFEF3C7"/>
        </patternFill>
      </fill>
    </dxf>
    <dxf>
      <font>
        <b val="1"/>
        <color rgb="FF64748B"/>
      </font>
      <fill>
        <patternFill>
          <bgColor rgb="FFF1F5F9"/>
        </patternFill>
      </fill>
    </dxf>
    <dxf>
      <font>
        <b val="1"/>
        <color rgb="FFFFFFFF"/>
      </font>
      <fill>
        <patternFill>
          <bgColor rgb="FF16A34A"/>
        </patternFill>
      </fill>
    </dxf>
    <dxf>
      <font>
        <color rgb="FF166534"/>
      </font>
      <fill>
        <patternFill>
          <bgColor rgb="FFDCFCE7"/>
        </patternFill>
      </fill>
    </dxf>
    <dxf>
      <font>
        <b val="1"/>
      </font>
      <fill>
        <patternFill>
          <bgColor rgb="FFEDE9FE"/>
        </patternFill>
      </fill>
    </dxf>
    <dxf>
      <font>
        <b val="1"/>
      </font>
      <fill>
        <patternFill>
          <bgColor rgb="FFDBEAFE"/>
        </patternFill>
      </fill>
    </dxf>
    <dxf>
      <font>
        <b val="1"/>
      </font>
      <fill>
        <patternFill>
          <bgColor rgb="FFCCFBF1"/>
        </patternFill>
      </fill>
    </dxf>
    <dxf>
      <font>
        <b val="1"/>
      </font>
      <fill>
        <patternFill>
          <bgColor rgb="FFFFEDD5"/>
        </patternFill>
      </fill>
    </dxf>
    <dxf>
      <font>
        <b val="1"/>
      </font>
      <fill>
        <patternFill>
          <bgColor rgb="FFDCFCE7"/>
        </patternFill>
      </fill>
    </dxf>
    <dxf>
      <font>
        <b val="1"/>
      </font>
      <fill>
        <patternFill>
          <bgColor rgb="FFFEF9C3"/>
        </patternFill>
      </fill>
    </dxf>
  </dxfs>
  <colors>
    <indexedColors>
      <rgbColor rgb="FF000000"/>
      <rgbColor rgb="FFFFFFFF"/>
      <rgbColor rgb="FFDC2626"/>
      <rgbColor rgb="FFF5F3FF"/>
      <rgbColor rgb="FF0000FF"/>
      <rgbColor rgb="FFFEF3C7"/>
      <rgbColor rgb="FFFF00FF"/>
      <rgbColor rgb="FFEFF6FF"/>
      <rgbColor rgb="FF800000"/>
      <rgbColor rgb="FF15803D"/>
      <rgbColor rgb="FF000080"/>
      <rgbColor rgb="FFF1F5F9"/>
      <rgbColor rgb="FF7C3AED"/>
      <rgbColor rgb="FF0F766E"/>
      <rgbColor rgb="FFD9D9D9"/>
      <rgbColor rgb="FF878787"/>
      <rgbColor rgb="FF94A3B8"/>
      <rgbColor rgb="FFB91C1C"/>
      <rgbColor rgb="FFFEF9C3"/>
      <rgbColor rgb="FFCCFBF1"/>
      <rgbColor rgb="FF660066"/>
      <rgbColor rgb="FFEDE9FE"/>
      <rgbColor rgb="FF1D4ED8"/>
      <rgbColor rgb="FFCBD5E1"/>
      <rgbColor rgb="FF000080"/>
      <rgbColor rgb="FFFF00FF"/>
      <rgbColor rgb="FFFFEDD5"/>
      <rgbColor rgb="FFF0F9FF"/>
      <rgbColor rgb="FF800080"/>
      <rgbColor rgb="FF800000"/>
      <rgbColor rgb="FF166534"/>
      <rgbColor rgb="FF0000FF"/>
      <rgbColor rgb="FF0EA5E9"/>
      <rgbColor rgb="FFDCFCE7"/>
      <rgbColor rgb="FFF0FDF4"/>
      <rgbColor rgb="FFFEF08A"/>
      <rgbColor rgb="FFDBEAFE"/>
      <rgbColor rgb="FFFEE2E2"/>
      <rgbColor rgb="FFE2E8F0"/>
      <rgbColor rgb="FFFDE68A"/>
      <rgbColor rgb="FF2563EB"/>
      <rgbColor rgb="FF22C55E"/>
      <rgbColor rgb="FFF3F4F6"/>
      <rgbColor rgb="FFFACC15"/>
      <rgbColor rgb="FFFFF7ED"/>
      <rgbColor rgb="FFEA580C"/>
      <rgbColor rgb="FF64748B"/>
      <rgbColor rgb="FF9CA3AF"/>
      <rgbColor rgb="FF003366"/>
      <rgbColor rgb="FF16A34A"/>
      <rgbColor rgb="FF0F172A"/>
      <rgbColor rgb="FF475569"/>
      <rgbColor rgb="FFC2410C"/>
      <rgbColor rgb="FFB45309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Candidatures par statut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bord'!C29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bord'!$B$30:$B$39</c:f>
              <c:strCache>
                <c:ptCount val="10"/>
                <c:pt idx="0">
                  <c:v>À vérifier</c:v>
                </c:pt>
                <c:pt idx="1">
                  <c:v>À contacter</c:v>
                </c:pt>
                <c:pt idx="2">
                  <c:v>À postuler</c:v>
                </c:pt>
                <c:pt idx="3">
                  <c:v>Candidature envoyée</c:v>
                </c:pt>
                <c:pt idx="4">
                  <c:v>Relance à faire</c:v>
                </c:pt>
                <c:pt idx="5">
                  <c:v>Entretien prévu</c:v>
                </c:pt>
                <c:pt idx="6">
                  <c:v>En attente</c:v>
                </c:pt>
                <c:pt idx="7">
                  <c:v>Refus</c:v>
                </c:pt>
                <c:pt idx="8">
                  <c:v>Stage obtenu</c:v>
                </c:pt>
                <c:pt idx="9">
                  <c:v>Pré-embauche confirmée</c:v>
                </c:pt>
              </c:strCache>
            </c:strRef>
          </c:cat>
          <c:val>
            <c:numRef>
              <c:f>'Tableau de bord'!$C$30:$C$39</c:f>
              <c:numCache>
                <c:formatCode>General</c:formatCode>
                <c:ptCount val="10"/>
                <c:pt idx="0">
                  <c:v>33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overlap val="0"/>
        <c:axId val="68530315"/>
        <c:axId val="18822714"/>
      </c:barChart>
      <c:catAx>
        <c:axId val="685303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22714"/>
        <c:crosses val="autoZero"/>
        <c:auto val="1"/>
        <c:lblAlgn val="ctr"/>
        <c:lblOffset val="100"/>
        <c:noMultiLvlLbl val="0"/>
      </c:catAx>
      <c:valAx>
        <c:axId val="1882271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3031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Pistes par version de CV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bord'!I29</c:f>
              <c:strCache>
                <c:ptCount val="1"/>
                <c:pt idx="0">
                  <c:v>Pistes</c:v>
                </c:pt>
              </c:strCache>
            </c:strRef>
          </c:tx>
          <c:spPr>
            <a:solidFill>
              <a:srgbClr val="7c3ae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bord'!$H$30:$H$33</c:f>
              <c:strCache>
                <c:ptCount val="4"/>
                <c:pt idx="0">
                  <c:v>CV A</c:v>
                </c:pt>
                <c:pt idx="1">
                  <c:v>CV B</c:v>
                </c:pt>
                <c:pt idx="2">
                  <c:v>CV C</c:v>
                </c:pt>
                <c:pt idx="3">
                  <c:v>CV D</c:v>
                </c:pt>
              </c:strCache>
            </c:strRef>
          </c:cat>
          <c:val>
            <c:numRef>
              <c:f>'Tableau de bord'!$I$30:$I$33</c:f>
              <c:numCache>
                <c:formatCode>General</c:formatCode>
                <c:ptCount val="4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8</c:v>
                </c:pt>
              </c:numCache>
            </c:numRef>
          </c:val>
        </c:ser>
        <c:gapWidth val="60"/>
        <c:overlap val="0"/>
        <c:axId val="97537804"/>
        <c:axId val="55466857"/>
      </c:barChart>
      <c:catAx>
        <c:axId val="975378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66857"/>
        <c:crosses val="autoZero"/>
        <c:auto val="1"/>
        <c:lblAlgn val="ctr"/>
        <c:lblOffset val="100"/>
        <c:noMultiLvlLbl val="0"/>
      </c:catAx>
      <c:valAx>
        <c:axId val="5546685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3780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142560</xdr:rowOff>
    </xdr:from>
    <xdr:to>
      <xdr:col>7</xdr:col>
      <xdr:colOff>168840</xdr:colOff>
      <xdr:row>46</xdr:row>
      <xdr:rowOff>175320</xdr:rowOff>
    </xdr:to>
    <xdr:graphicFrame>
      <xdr:nvGraphicFramePr>
        <xdr:cNvPr id="0" name="Chart 1"/>
        <xdr:cNvGraphicFramePr/>
      </xdr:nvGraphicFramePr>
      <xdr:xfrm>
        <a:off x="141120" y="95058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32</xdr:row>
      <xdr:rowOff>142560</xdr:rowOff>
    </xdr:from>
    <xdr:to>
      <xdr:col>11</xdr:col>
      <xdr:colOff>646920</xdr:colOff>
      <xdr:row>46</xdr:row>
      <xdr:rowOff>175320</xdr:rowOff>
    </xdr:to>
    <xdr:graphicFrame>
      <xdr:nvGraphicFramePr>
        <xdr:cNvPr id="1" name="Chart 2"/>
        <xdr:cNvGraphicFramePr/>
      </xdr:nvGraphicFramePr>
      <xdr:xfrm>
        <a:off x="4651920" y="95058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cp-cand.talent-soft.com/offre-de-emploi/emploi-candidatures-spontanees-stage-pfe-2027-bac-5-h-f_1672.aspx" TargetMode="External"/><Relationship Id="rId3" Type="http://schemas.openxmlformats.org/officeDocument/2006/relationships/hyperlink" Target="https://ma.indeed.com/cmp/Coface/jobs" TargetMode="External"/><Relationship Id="rId4" Type="http://schemas.openxmlformats.org/officeDocument/2006/relationships/hyperlink" Target="https://ma.indeed.com/Maroc-emplois-Stage-Finance" TargetMode="External"/><Relationship Id="rId5" Type="http://schemas.openxmlformats.org/officeDocument/2006/relationships/hyperlink" Target="https://carriere.creditdumaroc.ma/offre-de-emploi/emploi-stage-pfe-analyste-d-affaires-grand-casablanca-el-jadida-rabat-kenitra-temara-tanger-tetouan_3197.aspx" TargetMode="External"/><Relationship Id="rId6" Type="http://schemas.openxmlformats.org/officeDocument/2006/relationships/hyperlink" Target="https://carriere.creditdumaroc.ma/Pages/Offre/detailoffre.aspx?LCID=1036&amp;idOffre=3211&amp;idOrigine=502&amp;offerReference=2025-3211" TargetMode="External"/><Relationship Id="rId7" Type="http://schemas.openxmlformats.org/officeDocument/2006/relationships/hyperlink" Target="https://emplois-afrique.kpmg.com/stage-alternance-maroc" TargetMode="External"/><Relationship Id="rId8" Type="http://schemas.openxmlformats.org/officeDocument/2006/relationships/hyperlink" Target="https://expleo.com/global/en/careers/" TargetMode="External"/><Relationship Id="rId9" Type="http://schemas.openxmlformats.org/officeDocument/2006/relationships/hyperlink" Target="https://bghit-nekhdem.com/coficab-recrute-des-stagiaires-pfe-2025-decouvrez-les-projets-disponibles/" TargetMode="External"/><Relationship Id="rId10" Type="http://schemas.openxmlformats.org/officeDocument/2006/relationships/hyperlink" Target="https://careers.te.com/job/Tanger-Finance-Development-Program-Trainee-%28mfd%29-TNG-9000/1259786700" TargetMode="External"/><Relationship Id="rId11" Type="http://schemas.openxmlformats.org/officeDocument/2006/relationships/hyperlink" Target="https://www.iagora.com/work/fr/offre/stage-maroc-management/5984409" TargetMode="External"/><Relationship Id="rId12" Type="http://schemas.openxmlformats.org/officeDocument/2006/relationships/hyperlink" Target="https://www.dreamjob.ma/emploi/tanger-med-port-authority-candidature-spontanee/" TargetMode="External"/><Relationship Id="rId13" Type="http://schemas.openxmlformats.org/officeDocument/2006/relationships/hyperlink" Target="https://www.rekrute.com/offre-emploi-stagiaire-pfe---campagne-2026-hf---finance-audit---commercial-recrutement-saham-bank-casablanca-178707.html" TargetMode="External"/><Relationship Id="rId14" Type="http://schemas.openxmlformats.org/officeDocument/2006/relationships/hyperlink" Target="https://www.dreamjob.ma/stage/coface-recrute-stagiaires/" TargetMode="External"/><Relationship Id="rId15" Type="http://schemas.openxmlformats.org/officeDocument/2006/relationships/hyperlink" Target="https://www.dreamjob.ma/stage/deloitte-maroc-lance-sa-campagne-de-stages-audit-pfe-2026/" TargetMode="External"/><Relationship Id="rId16" Type="http://schemas.openxmlformats.org/officeDocument/2006/relationships/hyperlink" Target="https://www.iagora.com/work/fr/offre/stage-maroc-achats/5678271" TargetMode="External"/><Relationship Id="rId17" Type="http://schemas.openxmlformats.org/officeDocument/2006/relationships/hyperlink" Target="https://www.jobsquare.ma/job/18100/stage-pfe-finance-h-f-power-bi-6-mois-casablanca/" TargetMode="External"/><Relationship Id="rId18" Type="http://schemas.openxmlformats.org/officeDocument/2006/relationships/hyperlink" Target="https://www.dreamjob.ma/stage/stages-pfe-a-saisir-chez-labelvie-a-skhirat/" TargetMode="External"/><Relationship Id="rId19" Type="http://schemas.openxmlformats.org/officeDocument/2006/relationships/hyperlink" Target="https://ma.indeed.com/cmp/Valeo-Maroc/about" TargetMode="External"/><Relationship Id="rId20" Type="http://schemas.openxmlformats.org/officeDocument/2006/relationships/hyperlink" Target="https://www.dreamjob.ma/stage/orhan-automotive-lance-une-campagne-de-recrutement-de-stagiaires-a-tanger/" TargetMode="External"/><Relationship Id="rId21" Type="http://schemas.openxmlformats.org/officeDocument/2006/relationships/hyperlink" Target="https://www.dreamjob.ma/a-la-une/stages-ouverts-a-tanger-med-chez-apm-terminals/" TargetMode="External"/><Relationship Id="rId22" Type="http://schemas.openxmlformats.org/officeDocument/2006/relationships/hyperlink" Target="https://www.rekrute.com/offre-emploi-lancement-campagne-de-stages-pfe-2025-recrutement-scr-maroc-casablanca-167765.html" TargetMode="External"/><Relationship Id="rId23" Type="http://schemas.openxmlformats.org/officeDocument/2006/relationships/hyperlink" Target="https://www.dreamjob.ma/emploi/cih-bank-recrute-des-analystes-risques/" TargetMode="External"/><Relationship Id="rId24" Type="http://schemas.openxmlformats.org/officeDocument/2006/relationships/hyperlink" Target="https://www.attijariwafabank.com/" TargetMode="External"/><Relationship Id="rId25" Type="http://schemas.openxmlformats.org/officeDocument/2006/relationships/hyperlink" Target="https://www.dreamjob.ma/stage/axa-assurance-recrutement-stagiaires/" TargetMode="External"/><Relationship Id="rId26" Type="http://schemas.openxmlformats.org/officeDocument/2006/relationships/hyperlink" Target="https://www.dreamjob.ma/emploi/finance-data-et-it-wafa-assurance-recrute-a-casablanca-et-fes/" TargetMode="External"/><Relationship Id="rId27" Type="http://schemas.openxmlformats.org/officeDocument/2006/relationships/hyperlink" Target="https://bghit-nekhdem.com/sanlam-maroc-lance-sa-campagne-de-recrutement-de-stagiaires-pfe-2025/" TargetMode="External"/><Relationship Id="rId28" Type="http://schemas.openxmlformats.org/officeDocument/2006/relationships/hyperlink" Target="https://www.dreamjob.ma/stage/allianz-assurances-recrute-stagiaires-actuariat-vie-sante/" TargetMode="External"/><Relationship Id="rId29" Type="http://schemas.openxmlformats.org/officeDocument/2006/relationships/hyperlink" Target="https://www.dreamjob.ma/emploi/opportunites-a-saisir-chez-rma-a-casablanca/" TargetMode="External"/><Relationship Id="rId30" Type="http://schemas.openxmlformats.org/officeDocument/2006/relationships/hyperlink" Target="https://emplois-afrique.kpmg.com/emploi/casablanca/auditeur-moroccan-market-stage-pfe-f-h/3358/31698089856" TargetMode="External"/><Relationship Id="rId31" Type="http://schemas.openxmlformats.org/officeDocument/2006/relationships/hyperlink" Target="https://www.dreamjob.ma/stage/bdo-maroc-recherche-des-stagiaires-pfe-en-audit/" TargetMode="External"/><Relationship Id="rId32" Type="http://schemas.openxmlformats.org/officeDocument/2006/relationships/hyperlink" Target="https://www.modiami.com/2026/10/offres-demploi-et-stages-tanger-2026.html" TargetMode="External"/><Relationship Id="rId33" Type="http://schemas.openxmlformats.org/officeDocument/2006/relationships/hyperlink" Target="https://ma.indeed.com/cmp/Opmobility/jobs" TargetMode="External"/><Relationship Id="rId34" Type="http://schemas.openxmlformats.org/officeDocument/2006/relationships/hyperlink" Target="https://www.dreamjob.ma/emploi/ti-fluid-systems-recrute-plusieurs-postes/" TargetMode="External"/><Relationship Id="rId35" Type="http://schemas.openxmlformats.org/officeDocument/2006/relationships/hyperlink" Target="https://www.trigo-group.com/" TargetMode="External"/><Relationship Id="rId36" Type="http://schemas.openxmlformats.org/officeDocument/2006/relationships/hyperlink" Target="https://www.dreamjob.ma/emploi/yazaki-maroc-recrute/" TargetMode="External"/><Relationship Id="rId37" Type="http://schemas.openxmlformats.org/officeDocument/2006/relationships/hyperlink" Target="https://bghit-nekhdem.com/plusieurs-opportunites-a-saisir-chez-bank-of-africa/" TargetMode="External"/><Relationship Id="rId38" Type="http://schemas.openxmlformats.org/officeDocument/2006/relationships/hyperlink" Target="https://www.atlantasanad.ma/" TargetMode="External"/><Relationship Id="rId39" Type="http://schemas.openxmlformats.org/officeDocument/2006/relationships/hyperlink" Target="https://www.dreamjob.ma/emploi/stagiaires-pfe-en-tax-recherches-par-pwc-maroc/" TargetMode="External"/><Relationship Id="rId40" Type="http://schemas.openxmlformats.org/officeDocument/2006/relationships/hyperlink" Target="https://www.ey.com/" TargetMode="External"/><Relationship Id="rId41" Type="http://schemas.openxmlformats.org/officeDocument/2006/relationships/drawing" Target="../drawings/drawing1.xml"/><Relationship Id="rId4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bcp-cand.talent-soft.com/offre-de-emploi/emploi-candidatures-spontanees-stage-pfe-2027-bac-5-h-f_1672.aspx" TargetMode="External"/><Relationship Id="rId2" Type="http://schemas.openxmlformats.org/officeDocument/2006/relationships/hyperlink" Target="https://carriere.creditdumaroc.ma/" TargetMode="External"/><Relationship Id="rId3" Type="http://schemas.openxmlformats.org/officeDocument/2006/relationships/hyperlink" Target="https://careers.te.com/" TargetMode="External"/><Relationship Id="rId4" Type="http://schemas.openxmlformats.org/officeDocument/2006/relationships/hyperlink" Target="https://emplois-afrique.kpmg.com/stage-alternance-maroc" TargetMode="External"/><Relationship Id="rId5" Type="http://schemas.openxmlformats.org/officeDocument/2006/relationships/hyperlink" Target="https://ma.indeed.com/cmp/Coface/jobs" TargetMode="External"/><Relationship Id="rId6" Type="http://schemas.openxmlformats.org/officeDocument/2006/relationships/hyperlink" Target="https://expleo.com/global/en/careers/" TargetMode="External"/><Relationship Id="rId7" Type="http://schemas.openxmlformats.org/officeDocument/2006/relationships/hyperlink" Target="https://www.renaultgroup.com/" TargetMode="External"/><Relationship Id="rId8" Type="http://schemas.openxmlformats.org/officeDocument/2006/relationships/hyperlink" Target="https://www.valeo.com/" TargetMode="External"/><Relationship Id="rId9" Type="http://schemas.openxmlformats.org/officeDocument/2006/relationships/hyperlink" Target="https://www.tangermed.ma/" TargetMode="External"/><Relationship Id="rId10" Type="http://schemas.openxmlformats.org/officeDocument/2006/relationships/hyperlink" Target="https://www.sahambank.com/" TargetMode="External"/><Relationship Id="rId11" Type="http://schemas.openxmlformats.org/officeDocument/2006/relationships/hyperlink" Target="https://www.attijariwafabank.com/" TargetMode="External"/><Relationship Id="rId12" Type="http://schemas.openxmlformats.org/officeDocument/2006/relationships/hyperlink" Target="https://www.wafaassurance.ma/" TargetMode="External"/><Relationship Id="rId13" Type="http://schemas.openxmlformats.org/officeDocument/2006/relationships/hyperlink" Target="https://www.axa.ma/" TargetMode="External"/><Relationship Id="rId14" Type="http://schemas.openxmlformats.org/officeDocument/2006/relationships/hyperlink" Target="https://www.rmaassurance.com/" TargetMode="External"/><Relationship Id="rId15" Type="http://schemas.openxmlformats.org/officeDocument/2006/relationships/hyperlink" Target="https://www.forvismazars.com/" TargetMode="External"/><Relationship Id="rId16" Type="http://schemas.openxmlformats.org/officeDocument/2006/relationships/hyperlink" Target="https://www.rekrute.com/" TargetMode="External"/><Relationship Id="rId17" Type="http://schemas.openxmlformats.org/officeDocument/2006/relationships/hyperlink" Target="https://ma.indeed.com/q-stage-pfe-emplois.html" TargetMode="External"/><Relationship Id="rId18" Type="http://schemas.openxmlformats.org/officeDocument/2006/relationships/hyperlink" Target="https://www.linkedin.com/jobs/" TargetMode="External"/><Relationship Id="rId19" Type="http://schemas.openxmlformats.org/officeDocument/2006/relationships/hyperlink" Target="https://pfedaba.ma/" TargetMode="External"/><Relationship Id="rId20" Type="http://schemas.openxmlformats.org/officeDocument/2006/relationships/hyperlink" Target="https://www.interactjob.ma/en/stages" TargetMode="External"/><Relationship Id="rId21" Type="http://schemas.openxmlformats.org/officeDocument/2006/relationships/hyperlink" Target="https://www.dreamjob.ma/stage/" TargetMode="External"/><Relationship Id="rId22" Type="http://schemas.openxmlformats.org/officeDocument/2006/relationships/hyperlink" Target="https://www.iagora.com/work/fr/stages-et-emplois/maroc" TargetMode="External"/><Relationship Id="rId23" Type="http://schemas.openxmlformats.org/officeDocument/2006/relationships/hyperlink" Target="https://www.jobsquare.ma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bcp-cand.talent-soft.com/offre-de-emploi/emploi-candidatures-spontanees-stage-pfe-2027-bac-5-h-f_1672.aspx" TargetMode="External"/><Relationship Id="rId2" Type="http://schemas.openxmlformats.org/officeDocument/2006/relationships/hyperlink" Target="https://ma.indeed.com/cmp/Coface/jobs" TargetMode="External"/><Relationship Id="rId3" Type="http://schemas.openxmlformats.org/officeDocument/2006/relationships/hyperlink" Target="https://ma.indeed.com/Maroc-emplois-Stage-Finance" TargetMode="External"/><Relationship Id="rId4" Type="http://schemas.openxmlformats.org/officeDocument/2006/relationships/hyperlink" Target="https://carriere.creditdumaroc.ma/offre-de-emploi/emploi-stage-pfe-analyste-d-affaires-grand-casablanca-el-jadida-rabat-kenitra-temara-tanger-tetouan_3197.aspx" TargetMode="External"/><Relationship Id="rId5" Type="http://schemas.openxmlformats.org/officeDocument/2006/relationships/hyperlink" Target="https://carriere.creditdumaroc.ma/Pages/Offre/detailoffre.aspx?LCID=1036&amp;idOffre=3211&amp;idOrigine=502&amp;offerReference=2025-3211" TargetMode="External"/><Relationship Id="rId6" Type="http://schemas.openxmlformats.org/officeDocument/2006/relationships/hyperlink" Target="https://emplois-afrique.kpmg.com/stage-alternance-maroc" TargetMode="External"/><Relationship Id="rId7" Type="http://schemas.openxmlformats.org/officeDocument/2006/relationships/hyperlink" Target="https://expleo.com/global/en/careers/" TargetMode="External"/><Relationship Id="rId8" Type="http://schemas.openxmlformats.org/officeDocument/2006/relationships/hyperlink" Target="https://bghit-nekhdem.com/coficab-recrute-des-stagiaires-pfe-2025-decouvrez-les-projets-disponibles/" TargetMode="External"/><Relationship Id="rId9" Type="http://schemas.openxmlformats.org/officeDocument/2006/relationships/hyperlink" Target="https://careers.te.com/job/Tanger-Finance-Development-Program-Trainee-%28mfd%29-TNG-9000/1259786700" TargetMode="External"/><Relationship Id="rId10" Type="http://schemas.openxmlformats.org/officeDocument/2006/relationships/hyperlink" Target="https://www.iagora.com/work/fr/offre/stage-maroc-management/5984409" TargetMode="External"/><Relationship Id="rId11" Type="http://schemas.openxmlformats.org/officeDocument/2006/relationships/hyperlink" Target="https://www.dreamjob.ma/emploi/tanger-med-port-authority-candidature-spontanee/" TargetMode="External"/><Relationship Id="rId12" Type="http://schemas.openxmlformats.org/officeDocument/2006/relationships/hyperlink" Target="https://www.rekrute.com/offre-emploi-stagiaire-pfe---campagne-2026-hf---finance-audit---commercial-recrutement-saham-bank-casablanca-178707.html" TargetMode="External"/><Relationship Id="rId13" Type="http://schemas.openxmlformats.org/officeDocument/2006/relationships/hyperlink" Target="https://www.dreamjob.ma/stage/coface-recrute-stagiaires/" TargetMode="External"/><Relationship Id="rId14" Type="http://schemas.openxmlformats.org/officeDocument/2006/relationships/hyperlink" Target="https://www.dreamjob.ma/stage/deloitte-maroc-lance-sa-campagne-de-stages-audit-pfe-2026/" TargetMode="External"/><Relationship Id="rId15" Type="http://schemas.openxmlformats.org/officeDocument/2006/relationships/hyperlink" Target="https://www.iagora.com/work/fr/offre/stage-maroc-achats/5678271" TargetMode="External"/><Relationship Id="rId16" Type="http://schemas.openxmlformats.org/officeDocument/2006/relationships/hyperlink" Target="https://www.jobsquare.ma/job/18100/stage-pfe-finance-h-f-power-bi-6-mois-casablanca/" TargetMode="External"/><Relationship Id="rId17" Type="http://schemas.openxmlformats.org/officeDocument/2006/relationships/hyperlink" Target="https://www.dreamjob.ma/stage/stages-pfe-a-saisir-chez-labelvie-a-skhirat/" TargetMode="External"/><Relationship Id="rId18" Type="http://schemas.openxmlformats.org/officeDocument/2006/relationships/hyperlink" Target="https://ma.indeed.com/cmp/Valeo-Maroc/about" TargetMode="External"/><Relationship Id="rId19" Type="http://schemas.openxmlformats.org/officeDocument/2006/relationships/hyperlink" Target="https://www.dreamjob.ma/stage/orhan-automotive-lance-une-campagne-de-recrutement-de-stagiaires-a-tanger/" TargetMode="External"/><Relationship Id="rId20" Type="http://schemas.openxmlformats.org/officeDocument/2006/relationships/hyperlink" Target="https://www.dreamjob.ma/a-la-une/stages-ouverts-a-tanger-med-chez-apm-terminals/" TargetMode="External"/><Relationship Id="rId21" Type="http://schemas.openxmlformats.org/officeDocument/2006/relationships/hyperlink" Target="https://www.rekrute.com/offre-emploi-lancement-campagne-de-stages-pfe-2025-recrutement-scr-maroc-casablanca-167765.html" TargetMode="External"/><Relationship Id="rId22" Type="http://schemas.openxmlformats.org/officeDocument/2006/relationships/hyperlink" Target="https://www.dreamjob.ma/emploi/cih-bank-recrute-des-analystes-risques/" TargetMode="External"/><Relationship Id="rId23" Type="http://schemas.openxmlformats.org/officeDocument/2006/relationships/hyperlink" Target="https://www.attijariwafabank.com/" TargetMode="External"/><Relationship Id="rId24" Type="http://schemas.openxmlformats.org/officeDocument/2006/relationships/hyperlink" Target="https://www.dreamjob.ma/stage/axa-assurance-recrutement-stagiaires/" TargetMode="External"/><Relationship Id="rId25" Type="http://schemas.openxmlformats.org/officeDocument/2006/relationships/hyperlink" Target="https://www.dreamjob.ma/emploi/finance-data-et-it-wafa-assurance-recrute-a-casablanca-et-fes/" TargetMode="External"/><Relationship Id="rId26" Type="http://schemas.openxmlformats.org/officeDocument/2006/relationships/hyperlink" Target="https://bghit-nekhdem.com/sanlam-maroc-lance-sa-campagne-de-recrutement-de-stagiaires-pfe-2025/" TargetMode="External"/><Relationship Id="rId27" Type="http://schemas.openxmlformats.org/officeDocument/2006/relationships/hyperlink" Target="https://www.dreamjob.ma/stage/allianz-assurances-recrute-stagiaires-actuariat-vie-sante/" TargetMode="External"/><Relationship Id="rId28" Type="http://schemas.openxmlformats.org/officeDocument/2006/relationships/hyperlink" Target="https://www.dreamjob.ma/emploi/opportunites-a-saisir-chez-rma-a-casablanca/" TargetMode="External"/><Relationship Id="rId29" Type="http://schemas.openxmlformats.org/officeDocument/2006/relationships/hyperlink" Target="https://emplois-afrique.kpmg.com/emploi/casablanca/auditeur-moroccan-market-stage-pfe-f-h/3358/31698089856" TargetMode="External"/><Relationship Id="rId30" Type="http://schemas.openxmlformats.org/officeDocument/2006/relationships/hyperlink" Target="https://www.dreamjob.ma/stage/bdo-maroc-recherche-des-stagiaires-pfe-en-audit/" TargetMode="External"/><Relationship Id="rId31" Type="http://schemas.openxmlformats.org/officeDocument/2006/relationships/hyperlink" Target="https://www.modiami.com/2026/10/offres-demploi-et-stages-tanger-2026.html" TargetMode="External"/><Relationship Id="rId32" Type="http://schemas.openxmlformats.org/officeDocument/2006/relationships/hyperlink" Target="https://ma.indeed.com/cmp/Opmobility/jobs" TargetMode="External"/><Relationship Id="rId33" Type="http://schemas.openxmlformats.org/officeDocument/2006/relationships/hyperlink" Target="https://www.dreamjob.ma/emploi/ti-fluid-systems-recrute-plusieurs-postes/" TargetMode="External"/><Relationship Id="rId34" Type="http://schemas.openxmlformats.org/officeDocument/2006/relationships/hyperlink" Target="https://www.trigo-group.com/" TargetMode="External"/><Relationship Id="rId35" Type="http://schemas.openxmlformats.org/officeDocument/2006/relationships/hyperlink" Target="https://www.dreamjob.ma/emploi/yazaki-maroc-recrute/" TargetMode="External"/><Relationship Id="rId36" Type="http://schemas.openxmlformats.org/officeDocument/2006/relationships/hyperlink" Target="https://bghit-nekhdem.com/plusieurs-opportunites-a-saisir-chez-bank-of-africa/" TargetMode="External"/><Relationship Id="rId37" Type="http://schemas.openxmlformats.org/officeDocument/2006/relationships/hyperlink" Target="https://www.atlantasanad.ma/" TargetMode="External"/><Relationship Id="rId38" Type="http://schemas.openxmlformats.org/officeDocument/2006/relationships/hyperlink" Target="https://www.dreamjob.ma/emploi/stagiaires-pfe-en-tax-recherches-par-pwc-maroc/" TargetMode="External"/><Relationship Id="rId39" Type="http://schemas.openxmlformats.org/officeDocument/2006/relationships/hyperlink" Target="https://www.ey.com/" TargetMode="External"/><Relationship Id="rId40" Type="http://schemas.openxmlformats.org/officeDocument/2006/relationships/hyperlink" Target="https://alwadifa-maroc.com/offre/show/id/23355" TargetMode="External"/><Relationship Id="rId41" Type="http://schemas.openxmlformats.org/officeDocument/2006/relationships/hyperlink" Target="https://www.marocworks.com/fr/jobs/groupe-banque-populaire-stages-projets-de-fin-d-2027" TargetMode="External"/><Relationship Id="rId42" Type="http://schemas.openxmlformats.org/officeDocument/2006/relationships/hyperlink" Target="https://africarrieres.com/ghana/en/emplois/stages-pfe-20262027-datalab-pre-embauche" TargetMode="External"/><Relationship Id="rId43" Type="http://schemas.openxmlformats.org/officeDocument/2006/relationships/hyperlink" Target="https://www.dreamjob.ma/stage/coface-ouvre-des-stages-en-data-et-intelligence-artificielle-a-casablanca/" TargetMode="External"/><Relationship Id="rId44" Type="http://schemas.openxmlformats.org/officeDocument/2006/relationships/hyperlink" Target="https://uirmag.uir.ac.ma/article/stage-pfe-maroc-2027" TargetMode="External"/><Relationship Id="rId45" Type="http://schemas.openxmlformats.org/officeDocument/2006/relationships/hyperlink" Target="https://www.jobsquare.ma/blog/guide-stage-pfe-maroc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false"/>
  </sheetPr>
  <dimension ref="A1:U3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34"/>
    <col collapsed="false" customWidth="true" hidden="false" outlineLevel="0" max="6" min="6" style="0" width="28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7"/>
    <col collapsed="false" customWidth="true" hidden="false" outlineLevel="0" max="17" min="15" style="0" width="10"/>
    <col collapsed="false" customWidth="true" hidden="false" outlineLevel="0" max="18" min="18" style="0" width="11"/>
    <col collapsed="false" customWidth="true" hidden="false" outlineLevel="0" max="19" min="19" style="0" width="22"/>
    <col collapsed="false" customWidth="true" hidden="false" outlineLevel="0" max="20" min="20" style="0" width="34"/>
    <col collapsed="false" customWidth="true" hidden="false" outlineLevel="0" max="21" min="21" style="0" width="9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4" t="s">
        <v>3</v>
      </c>
      <c r="H4" s="4"/>
      <c r="I4" s="5" t="s">
        <v>4</v>
      </c>
      <c r="J4" s="5"/>
      <c r="K4" s="5"/>
      <c r="L4" s="5"/>
      <c r="M4" s="5"/>
      <c r="N4" s="6" t="s">
        <v>5</v>
      </c>
      <c r="O4" s="6"/>
      <c r="P4" s="6"/>
      <c r="Q4" s="6"/>
      <c r="R4" s="7" t="s">
        <v>6</v>
      </c>
      <c r="S4" s="7"/>
      <c r="T4" s="8" t="s">
        <v>7</v>
      </c>
      <c r="U4" s="8"/>
    </row>
    <row r="5" customFormat="false" ht="30" hidden="false" customHeight="true" outlineLevel="0" collapsed="false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0" t="s">
        <v>14</v>
      </c>
      <c r="H5" s="10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3" t="s">
        <v>25</v>
      </c>
      <c r="S5" s="13" t="s">
        <v>26</v>
      </c>
      <c r="T5" s="14" t="s">
        <v>27</v>
      </c>
      <c r="U5" s="14" t="s">
        <v>28</v>
      </c>
    </row>
    <row r="6" customFormat="false" ht="36" hidden="false" customHeight="true" outlineLevel="0" collapsed="false">
      <c r="A6" s="15" t="s">
        <v>29</v>
      </c>
      <c r="B6" s="16" t="s">
        <v>30</v>
      </c>
      <c r="C6" s="16" t="s">
        <v>31</v>
      </c>
      <c r="D6" s="16" t="s">
        <v>32</v>
      </c>
      <c r="E6" s="16" t="s">
        <v>33</v>
      </c>
      <c r="F6" s="16" t="s">
        <v>34</v>
      </c>
      <c r="G6" s="17" t="s">
        <v>35</v>
      </c>
      <c r="H6" s="17" t="s">
        <v>36</v>
      </c>
      <c r="I6" s="16" t="s">
        <v>37</v>
      </c>
      <c r="J6" s="16" t="s">
        <v>38</v>
      </c>
      <c r="K6" s="17" t="s">
        <v>37</v>
      </c>
      <c r="L6" s="18" t="s">
        <v>39</v>
      </c>
      <c r="M6" s="16" t="s">
        <v>40</v>
      </c>
      <c r="N6" s="17" t="s">
        <v>41</v>
      </c>
      <c r="O6" s="19"/>
      <c r="P6" s="19" t="str">
        <f aca="false">IF(O6="","",O6+10)</f>
        <v/>
      </c>
      <c r="Q6" s="19"/>
      <c r="R6" s="17" t="s">
        <v>42</v>
      </c>
      <c r="S6" s="16" t="s">
        <v>43</v>
      </c>
      <c r="T6" s="16" t="s">
        <v>44</v>
      </c>
      <c r="U6" s="17" t="s">
        <v>45</v>
      </c>
    </row>
    <row r="7" customFormat="false" ht="36" hidden="false" customHeight="true" outlineLevel="0" collapsed="false">
      <c r="A7" s="15" t="s">
        <v>46</v>
      </c>
      <c r="B7" s="16" t="s">
        <v>47</v>
      </c>
      <c r="C7" s="16" t="s">
        <v>48</v>
      </c>
      <c r="D7" s="16" t="s">
        <v>49</v>
      </c>
      <c r="E7" s="16" t="s">
        <v>50</v>
      </c>
      <c r="F7" s="16" t="s">
        <v>51</v>
      </c>
      <c r="G7" s="17" t="s">
        <v>52</v>
      </c>
      <c r="H7" s="17" t="s">
        <v>36</v>
      </c>
      <c r="I7" s="16" t="s">
        <v>37</v>
      </c>
      <c r="J7" s="16" t="s">
        <v>53</v>
      </c>
      <c r="K7" s="17" t="s">
        <v>37</v>
      </c>
      <c r="L7" s="18" t="s">
        <v>39</v>
      </c>
      <c r="M7" s="16" t="s">
        <v>54</v>
      </c>
      <c r="N7" s="17" t="s">
        <v>41</v>
      </c>
      <c r="O7" s="19"/>
      <c r="P7" s="19" t="str">
        <f aca="false">IF(O7="","",O7+10)</f>
        <v/>
      </c>
      <c r="Q7" s="19"/>
      <c r="R7" s="17" t="s">
        <v>45</v>
      </c>
      <c r="S7" s="16" t="s">
        <v>55</v>
      </c>
      <c r="T7" s="16" t="s">
        <v>56</v>
      </c>
      <c r="U7" s="17" t="s">
        <v>45</v>
      </c>
    </row>
    <row r="8" customFormat="false" ht="36" hidden="false" customHeight="true" outlineLevel="0" collapsed="false">
      <c r="A8" s="15" t="s">
        <v>57</v>
      </c>
      <c r="B8" s="16" t="s">
        <v>58</v>
      </c>
      <c r="C8" s="16" t="s">
        <v>48</v>
      </c>
      <c r="D8" s="16" t="s">
        <v>59</v>
      </c>
      <c r="E8" s="16" t="s">
        <v>60</v>
      </c>
      <c r="F8" s="16" t="s">
        <v>61</v>
      </c>
      <c r="G8" s="17" t="s">
        <v>62</v>
      </c>
      <c r="H8" s="17" t="s">
        <v>36</v>
      </c>
      <c r="I8" s="16" t="s">
        <v>37</v>
      </c>
      <c r="J8" s="16" t="s">
        <v>53</v>
      </c>
      <c r="K8" s="17" t="s">
        <v>37</v>
      </c>
      <c r="L8" s="18" t="s">
        <v>39</v>
      </c>
      <c r="M8" s="16" t="s">
        <v>63</v>
      </c>
      <c r="N8" s="17" t="s">
        <v>41</v>
      </c>
      <c r="O8" s="19"/>
      <c r="P8" s="19" t="str">
        <f aca="false">IF(O8="","",O8+10)</f>
        <v/>
      </c>
      <c r="Q8" s="19"/>
      <c r="R8" s="17" t="s">
        <v>42</v>
      </c>
      <c r="S8" s="16" t="s">
        <v>64</v>
      </c>
      <c r="T8" s="16" t="s">
        <v>65</v>
      </c>
      <c r="U8" s="17" t="s">
        <v>45</v>
      </c>
    </row>
    <row r="9" customFormat="false" ht="36" hidden="false" customHeight="true" outlineLevel="0" collapsed="false">
      <c r="A9" s="15" t="s">
        <v>66</v>
      </c>
      <c r="B9" s="16" t="s">
        <v>30</v>
      </c>
      <c r="C9" s="16" t="s">
        <v>67</v>
      </c>
      <c r="D9" s="16" t="s">
        <v>68</v>
      </c>
      <c r="E9" s="16" t="s">
        <v>69</v>
      </c>
      <c r="F9" s="16" t="s">
        <v>70</v>
      </c>
      <c r="G9" s="17" t="s">
        <v>35</v>
      </c>
      <c r="H9" s="17" t="s">
        <v>36</v>
      </c>
      <c r="I9" s="16" t="s">
        <v>37</v>
      </c>
      <c r="J9" s="16" t="s">
        <v>38</v>
      </c>
      <c r="K9" s="17" t="s">
        <v>37</v>
      </c>
      <c r="L9" s="18" t="s">
        <v>39</v>
      </c>
      <c r="M9" s="16" t="s">
        <v>71</v>
      </c>
      <c r="N9" s="17" t="s">
        <v>72</v>
      </c>
      <c r="O9" s="19"/>
      <c r="P9" s="19" t="str">
        <f aca="false">IF(O9="","",O9+10)</f>
        <v/>
      </c>
      <c r="Q9" s="19"/>
      <c r="R9" s="17" t="s">
        <v>42</v>
      </c>
      <c r="S9" s="16"/>
      <c r="T9" s="16" t="s">
        <v>73</v>
      </c>
      <c r="U9" s="17" t="s">
        <v>74</v>
      </c>
    </row>
    <row r="10" customFormat="false" ht="36" hidden="false" customHeight="true" outlineLevel="0" collapsed="false">
      <c r="A10" s="15" t="s">
        <v>66</v>
      </c>
      <c r="B10" s="16" t="s">
        <v>30</v>
      </c>
      <c r="C10" s="16" t="s">
        <v>75</v>
      </c>
      <c r="D10" s="16" t="s">
        <v>76</v>
      </c>
      <c r="E10" s="16" t="s">
        <v>77</v>
      </c>
      <c r="F10" s="16" t="s">
        <v>78</v>
      </c>
      <c r="G10" s="17" t="s">
        <v>35</v>
      </c>
      <c r="H10" s="17" t="s">
        <v>36</v>
      </c>
      <c r="I10" s="16" t="s">
        <v>37</v>
      </c>
      <c r="J10" s="16" t="s">
        <v>38</v>
      </c>
      <c r="K10" s="17" t="s">
        <v>37</v>
      </c>
      <c r="L10" s="18" t="s">
        <v>39</v>
      </c>
      <c r="M10" s="16" t="s">
        <v>79</v>
      </c>
      <c r="N10" s="17" t="s">
        <v>72</v>
      </c>
      <c r="O10" s="19"/>
      <c r="P10" s="19" t="str">
        <f aca="false">IF(O10="","",O10+10)</f>
        <v/>
      </c>
      <c r="Q10" s="19"/>
      <c r="R10" s="17" t="s">
        <v>42</v>
      </c>
      <c r="S10" s="16"/>
      <c r="T10" s="16" t="s">
        <v>80</v>
      </c>
      <c r="U10" s="17" t="s">
        <v>74</v>
      </c>
    </row>
    <row r="11" customFormat="false" ht="36" hidden="false" customHeight="true" outlineLevel="0" collapsed="false">
      <c r="A11" s="15" t="s">
        <v>81</v>
      </c>
      <c r="B11" s="16" t="s">
        <v>82</v>
      </c>
      <c r="C11" s="16" t="s">
        <v>48</v>
      </c>
      <c r="D11" s="16" t="s">
        <v>83</v>
      </c>
      <c r="E11" s="16" t="s">
        <v>84</v>
      </c>
      <c r="F11" s="16" t="s">
        <v>85</v>
      </c>
      <c r="G11" s="17" t="s">
        <v>35</v>
      </c>
      <c r="H11" s="17" t="s">
        <v>36</v>
      </c>
      <c r="I11" s="16" t="s">
        <v>37</v>
      </c>
      <c r="J11" s="16" t="s">
        <v>38</v>
      </c>
      <c r="K11" s="17" t="s">
        <v>37</v>
      </c>
      <c r="L11" s="18" t="s">
        <v>39</v>
      </c>
      <c r="M11" s="16" t="s">
        <v>86</v>
      </c>
      <c r="N11" s="17" t="s">
        <v>72</v>
      </c>
      <c r="O11" s="19"/>
      <c r="P11" s="19" t="str">
        <f aca="false">IF(O11="","",O11+10)</f>
        <v/>
      </c>
      <c r="Q11" s="19"/>
      <c r="R11" s="17" t="s">
        <v>42</v>
      </c>
      <c r="S11" s="16"/>
      <c r="T11" s="16" t="s">
        <v>87</v>
      </c>
      <c r="U11" s="17" t="s">
        <v>74</v>
      </c>
    </row>
    <row r="12" customFormat="false" ht="36" hidden="false" customHeight="true" outlineLevel="0" collapsed="false">
      <c r="A12" s="15" t="s">
        <v>88</v>
      </c>
      <c r="B12" s="16" t="s">
        <v>89</v>
      </c>
      <c r="C12" s="16" t="s">
        <v>90</v>
      </c>
      <c r="D12" s="16" t="s">
        <v>91</v>
      </c>
      <c r="E12" s="16" t="s">
        <v>92</v>
      </c>
      <c r="F12" s="16" t="s">
        <v>93</v>
      </c>
      <c r="G12" s="17" t="s">
        <v>52</v>
      </c>
      <c r="H12" s="17" t="s">
        <v>36</v>
      </c>
      <c r="I12" s="16" t="s">
        <v>37</v>
      </c>
      <c r="J12" s="16" t="s">
        <v>37</v>
      </c>
      <c r="K12" s="17" t="s">
        <v>37</v>
      </c>
      <c r="L12" s="18" t="s">
        <v>39</v>
      </c>
      <c r="M12" s="16" t="s">
        <v>94</v>
      </c>
      <c r="N12" s="17" t="s">
        <v>95</v>
      </c>
      <c r="O12" s="19"/>
      <c r="P12" s="19" t="str">
        <f aca="false">IF(O12="","",O12+10)</f>
        <v/>
      </c>
      <c r="Q12" s="19"/>
      <c r="R12" s="17" t="s">
        <v>42</v>
      </c>
      <c r="S12" s="16" t="s">
        <v>96</v>
      </c>
      <c r="T12" s="16" t="s">
        <v>97</v>
      </c>
      <c r="U12" s="17" t="s">
        <v>74</v>
      </c>
    </row>
    <row r="13" customFormat="false" ht="36" hidden="false" customHeight="true" outlineLevel="0" collapsed="false">
      <c r="A13" s="15" t="s">
        <v>98</v>
      </c>
      <c r="B13" s="16" t="s">
        <v>99</v>
      </c>
      <c r="C13" s="16" t="s">
        <v>90</v>
      </c>
      <c r="D13" s="16" t="s">
        <v>100</v>
      </c>
      <c r="E13" s="16" t="s">
        <v>101</v>
      </c>
      <c r="F13" s="16" t="s">
        <v>102</v>
      </c>
      <c r="G13" s="17" t="s">
        <v>103</v>
      </c>
      <c r="H13" s="17" t="s">
        <v>36</v>
      </c>
      <c r="I13" s="16" t="s">
        <v>37</v>
      </c>
      <c r="J13" s="16" t="s">
        <v>104</v>
      </c>
      <c r="K13" s="17" t="s">
        <v>37</v>
      </c>
      <c r="L13" s="18" t="s">
        <v>39</v>
      </c>
      <c r="M13" s="16" t="s">
        <v>105</v>
      </c>
      <c r="N13" s="17" t="s">
        <v>72</v>
      </c>
      <c r="O13" s="19"/>
      <c r="P13" s="19" t="str">
        <f aca="false">IF(O13="","",O13+10)</f>
        <v/>
      </c>
      <c r="Q13" s="19"/>
      <c r="R13" s="17" t="s">
        <v>106</v>
      </c>
      <c r="S13" s="16"/>
      <c r="T13" s="16" t="s">
        <v>107</v>
      </c>
      <c r="U13" s="17" t="s">
        <v>74</v>
      </c>
    </row>
    <row r="14" customFormat="false" ht="36" hidden="false" customHeight="true" outlineLevel="0" collapsed="false">
      <c r="A14" s="15" t="s">
        <v>108</v>
      </c>
      <c r="B14" s="16" t="s">
        <v>109</v>
      </c>
      <c r="C14" s="16" t="s">
        <v>90</v>
      </c>
      <c r="D14" s="16" t="s">
        <v>110</v>
      </c>
      <c r="E14" s="16" t="s">
        <v>111</v>
      </c>
      <c r="F14" s="16" t="s">
        <v>112</v>
      </c>
      <c r="G14" s="17" t="s">
        <v>103</v>
      </c>
      <c r="H14" s="17" t="s">
        <v>36</v>
      </c>
      <c r="I14" s="16" t="s">
        <v>37</v>
      </c>
      <c r="J14" s="16" t="s">
        <v>37</v>
      </c>
      <c r="K14" s="17" t="s">
        <v>37</v>
      </c>
      <c r="L14" s="18" t="s">
        <v>39</v>
      </c>
      <c r="M14" s="16" t="s">
        <v>113</v>
      </c>
      <c r="N14" s="17" t="s">
        <v>72</v>
      </c>
      <c r="O14" s="19"/>
      <c r="P14" s="19" t="str">
        <f aca="false">IF(O14="","",O14+10)</f>
        <v/>
      </c>
      <c r="Q14" s="19"/>
      <c r="R14" s="17" t="s">
        <v>106</v>
      </c>
      <c r="S14" s="16" t="s">
        <v>114</v>
      </c>
      <c r="T14" s="16" t="s">
        <v>115</v>
      </c>
      <c r="U14" s="17" t="s">
        <v>74</v>
      </c>
    </row>
    <row r="15" customFormat="false" ht="36" hidden="false" customHeight="true" outlineLevel="0" collapsed="false">
      <c r="A15" s="15" t="s">
        <v>116</v>
      </c>
      <c r="B15" s="16" t="s">
        <v>117</v>
      </c>
      <c r="C15" s="16" t="s">
        <v>118</v>
      </c>
      <c r="D15" s="16" t="s">
        <v>119</v>
      </c>
      <c r="E15" s="16" t="s">
        <v>120</v>
      </c>
      <c r="F15" s="16" t="s">
        <v>121</v>
      </c>
      <c r="G15" s="17" t="s">
        <v>103</v>
      </c>
      <c r="H15" s="17" t="s">
        <v>36</v>
      </c>
      <c r="I15" s="16" t="s">
        <v>37</v>
      </c>
      <c r="J15" s="16" t="s">
        <v>37</v>
      </c>
      <c r="K15" s="17" t="s">
        <v>37</v>
      </c>
      <c r="L15" s="18" t="s">
        <v>39</v>
      </c>
      <c r="M15" s="16" t="s">
        <v>122</v>
      </c>
      <c r="N15" s="17" t="s">
        <v>72</v>
      </c>
      <c r="O15" s="19"/>
      <c r="P15" s="19" t="str">
        <f aca="false">IF(O15="","",O15+10)</f>
        <v/>
      </c>
      <c r="Q15" s="19"/>
      <c r="R15" s="17" t="s">
        <v>42</v>
      </c>
      <c r="S15" s="16" t="s">
        <v>123</v>
      </c>
      <c r="T15" s="16" t="s">
        <v>124</v>
      </c>
      <c r="U15" s="17" t="s">
        <v>74</v>
      </c>
    </row>
    <row r="16" customFormat="false" ht="36" hidden="false" customHeight="true" outlineLevel="0" collapsed="false">
      <c r="A16" s="15" t="s">
        <v>125</v>
      </c>
      <c r="B16" s="16" t="s">
        <v>126</v>
      </c>
      <c r="C16" s="16" t="s">
        <v>125</v>
      </c>
      <c r="D16" s="16" t="s">
        <v>127</v>
      </c>
      <c r="E16" s="16" t="s">
        <v>128</v>
      </c>
      <c r="F16" s="16" t="s">
        <v>129</v>
      </c>
      <c r="G16" s="17" t="s">
        <v>103</v>
      </c>
      <c r="H16" s="17" t="s">
        <v>36</v>
      </c>
      <c r="I16" s="16" t="s">
        <v>37</v>
      </c>
      <c r="J16" s="16" t="s">
        <v>37</v>
      </c>
      <c r="K16" s="17" t="s">
        <v>37</v>
      </c>
      <c r="L16" s="18" t="s">
        <v>39</v>
      </c>
      <c r="M16" s="16" t="s">
        <v>130</v>
      </c>
      <c r="N16" s="17" t="s">
        <v>41</v>
      </c>
      <c r="O16" s="19"/>
      <c r="P16" s="19" t="str">
        <f aca="false">IF(O16="","",O16+10)</f>
        <v/>
      </c>
      <c r="Q16" s="19"/>
      <c r="R16" s="17" t="s">
        <v>106</v>
      </c>
      <c r="S16" s="16"/>
      <c r="T16" s="16" t="s">
        <v>131</v>
      </c>
      <c r="U16" s="17" t="s">
        <v>74</v>
      </c>
    </row>
    <row r="17" customFormat="false" ht="36" hidden="false" customHeight="true" outlineLevel="0" collapsed="false">
      <c r="A17" s="15" t="s">
        <v>132</v>
      </c>
      <c r="B17" s="16" t="s">
        <v>30</v>
      </c>
      <c r="C17" s="16" t="s">
        <v>48</v>
      </c>
      <c r="D17" s="16" t="s">
        <v>133</v>
      </c>
      <c r="E17" s="16" t="s">
        <v>134</v>
      </c>
      <c r="F17" s="16" t="s">
        <v>135</v>
      </c>
      <c r="G17" s="17" t="s">
        <v>103</v>
      </c>
      <c r="H17" s="17" t="s">
        <v>36</v>
      </c>
      <c r="I17" s="16" t="s">
        <v>37</v>
      </c>
      <c r="J17" s="16" t="s">
        <v>37</v>
      </c>
      <c r="K17" s="17" t="s">
        <v>37</v>
      </c>
      <c r="L17" s="18" t="s">
        <v>39</v>
      </c>
      <c r="M17" s="16" t="s">
        <v>136</v>
      </c>
      <c r="N17" s="17" t="s">
        <v>72</v>
      </c>
      <c r="O17" s="19"/>
      <c r="P17" s="19" t="str">
        <f aca="false">IF(O17="","",O17+10)</f>
        <v/>
      </c>
      <c r="Q17" s="19"/>
      <c r="R17" s="17" t="s">
        <v>42</v>
      </c>
      <c r="S17" s="16"/>
      <c r="T17" s="16" t="s">
        <v>137</v>
      </c>
      <c r="U17" s="17" t="s">
        <v>74</v>
      </c>
    </row>
    <row r="18" customFormat="false" ht="36" hidden="false" customHeight="true" outlineLevel="0" collapsed="false">
      <c r="A18" s="15" t="s">
        <v>138</v>
      </c>
      <c r="B18" s="16" t="s">
        <v>139</v>
      </c>
      <c r="C18" s="16" t="s">
        <v>48</v>
      </c>
      <c r="D18" s="16" t="s">
        <v>140</v>
      </c>
      <c r="E18" s="16" t="s">
        <v>141</v>
      </c>
      <c r="F18" s="16" t="s">
        <v>142</v>
      </c>
      <c r="G18" s="17" t="s">
        <v>35</v>
      </c>
      <c r="H18" s="17" t="s">
        <v>36</v>
      </c>
      <c r="I18" s="16" t="s">
        <v>37</v>
      </c>
      <c r="J18" s="16" t="s">
        <v>143</v>
      </c>
      <c r="K18" s="17" t="s">
        <v>37</v>
      </c>
      <c r="L18" s="18" t="s">
        <v>39</v>
      </c>
      <c r="M18" s="16" t="s">
        <v>144</v>
      </c>
      <c r="N18" s="17" t="s">
        <v>95</v>
      </c>
      <c r="O18" s="19"/>
      <c r="P18" s="19" t="str">
        <f aca="false">IF(O18="","",O18+10)</f>
        <v/>
      </c>
      <c r="Q18" s="19"/>
      <c r="R18" s="17" t="s">
        <v>42</v>
      </c>
      <c r="S18" s="16"/>
      <c r="T18" s="16" t="s">
        <v>145</v>
      </c>
      <c r="U18" s="17" t="s">
        <v>74</v>
      </c>
    </row>
    <row r="19" customFormat="false" ht="36" hidden="false" customHeight="true" outlineLevel="0" collapsed="false">
      <c r="A19" s="15" t="s">
        <v>146</v>
      </c>
      <c r="B19" s="16" t="s">
        <v>58</v>
      </c>
      <c r="C19" s="16" t="s">
        <v>48</v>
      </c>
      <c r="D19" s="16" t="s">
        <v>147</v>
      </c>
      <c r="E19" s="16" t="s">
        <v>148</v>
      </c>
      <c r="F19" s="16" t="s">
        <v>149</v>
      </c>
      <c r="G19" s="17" t="s">
        <v>62</v>
      </c>
      <c r="H19" s="17" t="s">
        <v>36</v>
      </c>
      <c r="I19" s="16" t="s">
        <v>37</v>
      </c>
      <c r="J19" s="16" t="s">
        <v>37</v>
      </c>
      <c r="K19" s="17" t="s">
        <v>37</v>
      </c>
      <c r="L19" s="18" t="s">
        <v>39</v>
      </c>
      <c r="M19" s="16" t="s">
        <v>150</v>
      </c>
      <c r="N19" s="17" t="s">
        <v>72</v>
      </c>
      <c r="O19" s="19"/>
      <c r="P19" s="19" t="str">
        <f aca="false">IF(O19="","",O19+10)</f>
        <v/>
      </c>
      <c r="Q19" s="19"/>
      <c r="R19" s="17" t="s">
        <v>42</v>
      </c>
      <c r="S19" s="16"/>
      <c r="T19" s="16" t="s">
        <v>151</v>
      </c>
      <c r="U19" s="17" t="s">
        <v>74</v>
      </c>
    </row>
    <row r="20" customFormat="false" ht="36" hidden="false" customHeight="true" outlineLevel="0" collapsed="false">
      <c r="A20" s="15" t="s">
        <v>116</v>
      </c>
      <c r="B20" s="16" t="s">
        <v>152</v>
      </c>
      <c r="C20" s="16" t="s">
        <v>90</v>
      </c>
      <c r="D20" s="16" t="s">
        <v>153</v>
      </c>
      <c r="E20" s="16" t="s">
        <v>154</v>
      </c>
      <c r="F20" s="16" t="s">
        <v>155</v>
      </c>
      <c r="G20" s="17" t="s">
        <v>52</v>
      </c>
      <c r="H20" s="17" t="s">
        <v>156</v>
      </c>
      <c r="I20" s="16" t="s">
        <v>37</v>
      </c>
      <c r="J20" s="16" t="s">
        <v>37</v>
      </c>
      <c r="K20" s="17" t="s">
        <v>37</v>
      </c>
      <c r="L20" s="18" t="s">
        <v>39</v>
      </c>
      <c r="M20" s="16" t="s">
        <v>157</v>
      </c>
      <c r="N20" s="17" t="s">
        <v>72</v>
      </c>
      <c r="O20" s="19"/>
      <c r="P20" s="19" t="str">
        <f aca="false">IF(O20="","",O20+10)</f>
        <v/>
      </c>
      <c r="Q20" s="19"/>
      <c r="R20" s="17" t="s">
        <v>42</v>
      </c>
      <c r="S20" s="16" t="s">
        <v>158</v>
      </c>
      <c r="T20" s="16" t="s">
        <v>159</v>
      </c>
      <c r="U20" s="17" t="s">
        <v>74</v>
      </c>
    </row>
    <row r="21" customFormat="false" ht="36" hidden="false" customHeight="true" outlineLevel="0" collapsed="false">
      <c r="A21" s="15" t="s">
        <v>160</v>
      </c>
      <c r="B21" s="16" t="s">
        <v>161</v>
      </c>
      <c r="C21" s="16" t="s">
        <v>48</v>
      </c>
      <c r="D21" s="16" t="s">
        <v>162</v>
      </c>
      <c r="E21" s="16" t="s">
        <v>163</v>
      </c>
      <c r="F21" s="16" t="s">
        <v>164</v>
      </c>
      <c r="G21" s="17" t="s">
        <v>103</v>
      </c>
      <c r="H21" s="17" t="s">
        <v>156</v>
      </c>
      <c r="I21" s="16" t="s">
        <v>37</v>
      </c>
      <c r="J21" s="16" t="s">
        <v>37</v>
      </c>
      <c r="K21" s="17" t="s">
        <v>37</v>
      </c>
      <c r="L21" s="18" t="s">
        <v>39</v>
      </c>
      <c r="M21" s="16" t="s">
        <v>165</v>
      </c>
      <c r="N21" s="17" t="s">
        <v>72</v>
      </c>
      <c r="O21" s="19"/>
      <c r="P21" s="19" t="str">
        <f aca="false">IF(O21="","",O21+10)</f>
        <v/>
      </c>
      <c r="Q21" s="19"/>
      <c r="R21" s="17" t="s">
        <v>106</v>
      </c>
      <c r="S21" s="16"/>
      <c r="T21" s="16" t="s">
        <v>166</v>
      </c>
      <c r="U21" s="17" t="s">
        <v>74</v>
      </c>
    </row>
    <row r="22" customFormat="false" ht="36" hidden="false" customHeight="true" outlineLevel="0" collapsed="false">
      <c r="A22" s="15" t="s">
        <v>167</v>
      </c>
      <c r="B22" s="16" t="s">
        <v>168</v>
      </c>
      <c r="C22" s="16" t="s">
        <v>169</v>
      </c>
      <c r="D22" s="16" t="s">
        <v>170</v>
      </c>
      <c r="E22" s="16" t="s">
        <v>171</v>
      </c>
      <c r="F22" s="16" t="s">
        <v>172</v>
      </c>
      <c r="G22" s="17" t="s">
        <v>103</v>
      </c>
      <c r="H22" s="17" t="s">
        <v>156</v>
      </c>
      <c r="I22" s="16" t="s">
        <v>37</v>
      </c>
      <c r="J22" s="16" t="s">
        <v>37</v>
      </c>
      <c r="K22" s="17" t="s">
        <v>37</v>
      </c>
      <c r="L22" s="18" t="s">
        <v>39</v>
      </c>
      <c r="M22" s="16" t="s">
        <v>173</v>
      </c>
      <c r="N22" s="17" t="s">
        <v>72</v>
      </c>
      <c r="O22" s="19"/>
      <c r="P22" s="19" t="str">
        <f aca="false">IF(O22="","",O22+10)</f>
        <v/>
      </c>
      <c r="Q22" s="19"/>
      <c r="R22" s="17" t="s">
        <v>106</v>
      </c>
      <c r="S22" s="16"/>
      <c r="T22" s="16" t="s">
        <v>174</v>
      </c>
      <c r="U22" s="17" t="s">
        <v>74</v>
      </c>
    </row>
    <row r="23" customFormat="false" ht="36" hidden="false" customHeight="true" outlineLevel="0" collapsed="false">
      <c r="A23" s="15" t="s">
        <v>175</v>
      </c>
      <c r="B23" s="16" t="s">
        <v>176</v>
      </c>
      <c r="C23" s="16" t="s">
        <v>90</v>
      </c>
      <c r="D23" s="16" t="s">
        <v>177</v>
      </c>
      <c r="E23" s="16" t="s">
        <v>178</v>
      </c>
      <c r="F23" s="16" t="s">
        <v>179</v>
      </c>
      <c r="G23" s="17" t="s">
        <v>103</v>
      </c>
      <c r="H23" s="17" t="s">
        <v>156</v>
      </c>
      <c r="I23" s="16" t="s">
        <v>37</v>
      </c>
      <c r="J23" s="16" t="s">
        <v>37</v>
      </c>
      <c r="K23" s="17" t="s">
        <v>37</v>
      </c>
      <c r="L23" s="18" t="s">
        <v>39</v>
      </c>
      <c r="M23" s="16" t="s">
        <v>180</v>
      </c>
      <c r="N23" s="17" t="s">
        <v>72</v>
      </c>
      <c r="O23" s="19"/>
      <c r="P23" s="19" t="str">
        <f aca="false">IF(O23="","",O23+10)</f>
        <v/>
      </c>
      <c r="Q23" s="19"/>
      <c r="R23" s="17" t="s">
        <v>106</v>
      </c>
      <c r="S23" s="16"/>
      <c r="T23" s="16" t="s">
        <v>181</v>
      </c>
      <c r="U23" s="17" t="s">
        <v>74</v>
      </c>
    </row>
    <row r="24" customFormat="false" ht="36" hidden="false" customHeight="true" outlineLevel="0" collapsed="false">
      <c r="A24" s="15" t="s">
        <v>182</v>
      </c>
      <c r="B24" s="16" t="s">
        <v>176</v>
      </c>
      <c r="C24" s="16" t="s">
        <v>90</v>
      </c>
      <c r="D24" s="16" t="s">
        <v>183</v>
      </c>
      <c r="E24" s="16" t="s">
        <v>184</v>
      </c>
      <c r="F24" s="16" t="s">
        <v>179</v>
      </c>
      <c r="G24" s="17" t="s">
        <v>103</v>
      </c>
      <c r="H24" s="17" t="s">
        <v>156</v>
      </c>
      <c r="I24" s="16" t="s">
        <v>37</v>
      </c>
      <c r="J24" s="16" t="s">
        <v>185</v>
      </c>
      <c r="K24" s="17" t="s">
        <v>37</v>
      </c>
      <c r="L24" s="18" t="s">
        <v>39</v>
      </c>
      <c r="M24" s="16" t="s">
        <v>130</v>
      </c>
      <c r="N24" s="17" t="s">
        <v>72</v>
      </c>
      <c r="O24" s="19"/>
      <c r="P24" s="19" t="str">
        <f aca="false">IF(O24="","",O24+10)</f>
        <v/>
      </c>
      <c r="Q24" s="19"/>
      <c r="R24" s="17" t="s">
        <v>106</v>
      </c>
      <c r="S24" s="16"/>
      <c r="T24" s="16" t="s">
        <v>186</v>
      </c>
      <c r="U24" s="17" t="s">
        <v>74</v>
      </c>
    </row>
    <row r="25" customFormat="false" ht="36" hidden="false" customHeight="true" outlineLevel="0" collapsed="false">
      <c r="A25" s="15" t="s">
        <v>187</v>
      </c>
      <c r="B25" s="16" t="s">
        <v>126</v>
      </c>
      <c r="C25" s="16" t="s">
        <v>125</v>
      </c>
      <c r="D25" s="16" t="s">
        <v>188</v>
      </c>
      <c r="E25" s="16" t="s">
        <v>189</v>
      </c>
      <c r="F25" s="16" t="s">
        <v>190</v>
      </c>
      <c r="G25" s="17" t="s">
        <v>103</v>
      </c>
      <c r="H25" s="17" t="s">
        <v>156</v>
      </c>
      <c r="I25" s="16" t="s">
        <v>37</v>
      </c>
      <c r="J25" s="16" t="s">
        <v>37</v>
      </c>
      <c r="K25" s="17" t="s">
        <v>37</v>
      </c>
      <c r="L25" s="18" t="s">
        <v>39</v>
      </c>
      <c r="M25" s="16" t="s">
        <v>130</v>
      </c>
      <c r="N25" s="17" t="s">
        <v>72</v>
      </c>
      <c r="O25" s="19"/>
      <c r="P25" s="19" t="str">
        <f aca="false">IF(O25="","",O25+10)</f>
        <v/>
      </c>
      <c r="Q25" s="19"/>
      <c r="R25" s="17" t="s">
        <v>106</v>
      </c>
      <c r="S25" s="16"/>
      <c r="T25" s="16" t="s">
        <v>191</v>
      </c>
      <c r="U25" s="17" t="s">
        <v>74</v>
      </c>
    </row>
    <row r="26" customFormat="false" ht="36" hidden="false" customHeight="true" outlineLevel="0" collapsed="false">
      <c r="A26" s="15" t="s">
        <v>192</v>
      </c>
      <c r="B26" s="16" t="s">
        <v>193</v>
      </c>
      <c r="C26" s="16" t="s">
        <v>48</v>
      </c>
      <c r="D26" s="16" t="s">
        <v>194</v>
      </c>
      <c r="E26" s="16" t="s">
        <v>195</v>
      </c>
      <c r="F26" s="16" t="s">
        <v>196</v>
      </c>
      <c r="G26" s="17" t="s">
        <v>35</v>
      </c>
      <c r="H26" s="17" t="s">
        <v>156</v>
      </c>
      <c r="I26" s="16" t="s">
        <v>37</v>
      </c>
      <c r="J26" s="16" t="s">
        <v>37</v>
      </c>
      <c r="K26" s="17" t="s">
        <v>37</v>
      </c>
      <c r="L26" s="18" t="s">
        <v>39</v>
      </c>
      <c r="M26" s="16" t="s">
        <v>197</v>
      </c>
      <c r="N26" s="17" t="s">
        <v>72</v>
      </c>
      <c r="O26" s="19"/>
      <c r="P26" s="19" t="str">
        <f aca="false">IF(O26="","",O26+10)</f>
        <v/>
      </c>
      <c r="Q26" s="19"/>
      <c r="R26" s="17" t="s">
        <v>106</v>
      </c>
      <c r="S26" s="16"/>
      <c r="T26" s="16" t="s">
        <v>198</v>
      </c>
      <c r="U26" s="17" t="s">
        <v>74</v>
      </c>
    </row>
    <row r="27" customFormat="false" ht="36" hidden="false" customHeight="true" outlineLevel="0" collapsed="false">
      <c r="A27" s="15" t="s">
        <v>199</v>
      </c>
      <c r="B27" s="16" t="s">
        <v>30</v>
      </c>
      <c r="C27" s="16" t="s">
        <v>48</v>
      </c>
      <c r="D27" s="16" t="s">
        <v>200</v>
      </c>
      <c r="E27" s="16" t="s">
        <v>201</v>
      </c>
      <c r="F27" s="16" t="s">
        <v>202</v>
      </c>
      <c r="G27" s="17" t="s">
        <v>35</v>
      </c>
      <c r="H27" s="17" t="s">
        <v>156</v>
      </c>
      <c r="I27" s="16" t="s">
        <v>37</v>
      </c>
      <c r="J27" s="16" t="s">
        <v>37</v>
      </c>
      <c r="K27" s="17" t="s">
        <v>37</v>
      </c>
      <c r="L27" s="18" t="s">
        <v>39</v>
      </c>
      <c r="M27" s="16" t="s">
        <v>130</v>
      </c>
      <c r="N27" s="17" t="s">
        <v>72</v>
      </c>
      <c r="O27" s="19"/>
      <c r="P27" s="19" t="str">
        <f aca="false">IF(O27="","",O27+10)</f>
        <v/>
      </c>
      <c r="Q27" s="19"/>
      <c r="R27" s="17" t="s">
        <v>106</v>
      </c>
      <c r="S27" s="16"/>
      <c r="T27" s="16" t="s">
        <v>203</v>
      </c>
      <c r="U27" s="17" t="s">
        <v>74</v>
      </c>
    </row>
    <row r="28" customFormat="false" ht="36" hidden="false" customHeight="true" outlineLevel="0" collapsed="false">
      <c r="A28" s="15" t="s">
        <v>204</v>
      </c>
      <c r="B28" s="16" t="s">
        <v>30</v>
      </c>
      <c r="C28" s="16" t="s">
        <v>48</v>
      </c>
      <c r="D28" s="16" t="s">
        <v>205</v>
      </c>
      <c r="E28" s="16" t="s">
        <v>206</v>
      </c>
      <c r="F28" s="16" t="s">
        <v>129</v>
      </c>
      <c r="G28" s="17" t="s">
        <v>35</v>
      </c>
      <c r="H28" s="17" t="s">
        <v>156</v>
      </c>
      <c r="I28" s="16" t="s">
        <v>37</v>
      </c>
      <c r="J28" s="16" t="s">
        <v>37</v>
      </c>
      <c r="K28" s="17" t="s">
        <v>37</v>
      </c>
      <c r="L28" s="18" t="s">
        <v>39</v>
      </c>
      <c r="M28" s="16" t="s">
        <v>207</v>
      </c>
      <c r="N28" s="17" t="s">
        <v>72</v>
      </c>
      <c r="O28" s="19"/>
      <c r="P28" s="19" t="str">
        <f aca="false">IF(O28="","",O28+10)</f>
        <v/>
      </c>
      <c r="Q28" s="19"/>
      <c r="R28" s="17" t="s">
        <v>106</v>
      </c>
      <c r="S28" s="16"/>
      <c r="T28" s="16" t="s">
        <v>208</v>
      </c>
      <c r="U28" s="17" t="s">
        <v>74</v>
      </c>
    </row>
    <row r="29" customFormat="false" ht="36" hidden="false" customHeight="true" outlineLevel="0" collapsed="false">
      <c r="A29" s="15" t="s">
        <v>209</v>
      </c>
      <c r="B29" s="16" t="s">
        <v>210</v>
      </c>
      <c r="C29" s="16" t="s">
        <v>48</v>
      </c>
      <c r="D29" s="16" t="s">
        <v>211</v>
      </c>
      <c r="E29" s="16" t="s">
        <v>212</v>
      </c>
      <c r="F29" s="16" t="s">
        <v>213</v>
      </c>
      <c r="G29" s="17" t="s">
        <v>35</v>
      </c>
      <c r="H29" s="17" t="s">
        <v>156</v>
      </c>
      <c r="I29" s="16" t="s">
        <v>37</v>
      </c>
      <c r="J29" s="16" t="s">
        <v>37</v>
      </c>
      <c r="K29" s="17" t="s">
        <v>37</v>
      </c>
      <c r="L29" s="18" t="s">
        <v>39</v>
      </c>
      <c r="M29" s="16" t="s">
        <v>214</v>
      </c>
      <c r="N29" s="17" t="s">
        <v>72</v>
      </c>
      <c r="O29" s="19"/>
      <c r="P29" s="19" t="str">
        <f aca="false">IF(O29="","",O29+10)</f>
        <v/>
      </c>
      <c r="Q29" s="19"/>
      <c r="R29" s="17" t="s">
        <v>106</v>
      </c>
      <c r="S29" s="16"/>
      <c r="T29" s="16" t="s">
        <v>215</v>
      </c>
      <c r="U29" s="17" t="s">
        <v>74</v>
      </c>
    </row>
    <row r="30" customFormat="false" ht="36" hidden="false" customHeight="true" outlineLevel="0" collapsed="false">
      <c r="A30" s="15" t="s">
        <v>216</v>
      </c>
      <c r="B30" s="16" t="s">
        <v>210</v>
      </c>
      <c r="C30" s="16" t="s">
        <v>48</v>
      </c>
      <c r="D30" s="16" t="s">
        <v>217</v>
      </c>
      <c r="E30" s="16" t="s">
        <v>218</v>
      </c>
      <c r="F30" s="16" t="s">
        <v>219</v>
      </c>
      <c r="G30" s="17" t="s">
        <v>35</v>
      </c>
      <c r="H30" s="17" t="s">
        <v>156</v>
      </c>
      <c r="I30" s="16" t="s">
        <v>37</v>
      </c>
      <c r="J30" s="16" t="s">
        <v>37</v>
      </c>
      <c r="K30" s="17" t="s">
        <v>37</v>
      </c>
      <c r="L30" s="18" t="s">
        <v>39</v>
      </c>
      <c r="M30" s="16" t="s">
        <v>220</v>
      </c>
      <c r="N30" s="17" t="s">
        <v>72</v>
      </c>
      <c r="O30" s="19"/>
      <c r="P30" s="19" t="str">
        <f aca="false">IF(O30="","",O30+10)</f>
        <v/>
      </c>
      <c r="Q30" s="19"/>
      <c r="R30" s="17" t="s">
        <v>106</v>
      </c>
      <c r="S30" s="16"/>
      <c r="T30" s="16" t="s">
        <v>221</v>
      </c>
      <c r="U30" s="17" t="s">
        <v>74</v>
      </c>
    </row>
    <row r="31" customFormat="false" ht="36" hidden="false" customHeight="true" outlineLevel="0" collapsed="false">
      <c r="A31" s="15" t="s">
        <v>222</v>
      </c>
      <c r="B31" s="16" t="s">
        <v>210</v>
      </c>
      <c r="C31" s="16" t="s">
        <v>48</v>
      </c>
      <c r="D31" s="16" t="s">
        <v>223</v>
      </c>
      <c r="E31" s="16" t="s">
        <v>224</v>
      </c>
      <c r="F31" s="16" t="s">
        <v>225</v>
      </c>
      <c r="G31" s="17" t="s">
        <v>35</v>
      </c>
      <c r="H31" s="17" t="s">
        <v>156</v>
      </c>
      <c r="I31" s="16" t="s">
        <v>37</v>
      </c>
      <c r="J31" s="16" t="s">
        <v>226</v>
      </c>
      <c r="K31" s="17" t="s">
        <v>37</v>
      </c>
      <c r="L31" s="18" t="s">
        <v>39</v>
      </c>
      <c r="M31" s="16" t="s">
        <v>227</v>
      </c>
      <c r="N31" s="17" t="s">
        <v>72</v>
      </c>
      <c r="O31" s="19"/>
      <c r="P31" s="19" t="str">
        <f aca="false">IF(O31="","",O31+10)</f>
        <v/>
      </c>
      <c r="Q31" s="19"/>
      <c r="R31" s="17" t="s">
        <v>106</v>
      </c>
      <c r="S31" s="16" t="s">
        <v>228</v>
      </c>
      <c r="T31" s="16" t="s">
        <v>229</v>
      </c>
      <c r="U31" s="17" t="s">
        <v>74</v>
      </c>
    </row>
    <row r="32" customFormat="false" ht="36" hidden="false" customHeight="true" outlineLevel="0" collapsed="false">
      <c r="A32" s="15" t="s">
        <v>230</v>
      </c>
      <c r="B32" s="16" t="s">
        <v>210</v>
      </c>
      <c r="C32" s="16" t="s">
        <v>48</v>
      </c>
      <c r="D32" s="16" t="s">
        <v>231</v>
      </c>
      <c r="E32" s="16" t="s">
        <v>232</v>
      </c>
      <c r="F32" s="16" t="s">
        <v>233</v>
      </c>
      <c r="G32" s="17" t="s">
        <v>35</v>
      </c>
      <c r="H32" s="17" t="s">
        <v>156</v>
      </c>
      <c r="I32" s="16" t="s">
        <v>37</v>
      </c>
      <c r="J32" s="16" t="s">
        <v>234</v>
      </c>
      <c r="K32" s="17" t="s">
        <v>37</v>
      </c>
      <c r="L32" s="18" t="s">
        <v>39</v>
      </c>
      <c r="M32" s="16" t="s">
        <v>235</v>
      </c>
      <c r="N32" s="17" t="s">
        <v>72</v>
      </c>
      <c r="O32" s="19"/>
      <c r="P32" s="19" t="str">
        <f aca="false">IF(O32="","",O32+10)</f>
        <v/>
      </c>
      <c r="Q32" s="19"/>
      <c r="R32" s="17" t="s">
        <v>106</v>
      </c>
      <c r="S32" s="16"/>
      <c r="T32" s="16" t="s">
        <v>236</v>
      </c>
      <c r="U32" s="17" t="s">
        <v>74</v>
      </c>
    </row>
    <row r="33" customFormat="false" ht="36" hidden="false" customHeight="true" outlineLevel="0" collapsed="false">
      <c r="A33" s="15" t="s">
        <v>237</v>
      </c>
      <c r="B33" s="16" t="s">
        <v>210</v>
      </c>
      <c r="C33" s="16" t="s">
        <v>48</v>
      </c>
      <c r="D33" s="16" t="s">
        <v>238</v>
      </c>
      <c r="E33" s="16" t="s">
        <v>239</v>
      </c>
      <c r="F33" s="16" t="s">
        <v>240</v>
      </c>
      <c r="G33" s="17" t="s">
        <v>52</v>
      </c>
      <c r="H33" s="17" t="s">
        <v>156</v>
      </c>
      <c r="I33" s="16" t="s">
        <v>37</v>
      </c>
      <c r="J33" s="16" t="s">
        <v>37</v>
      </c>
      <c r="K33" s="17" t="s">
        <v>37</v>
      </c>
      <c r="L33" s="18" t="s">
        <v>39</v>
      </c>
      <c r="M33" s="16" t="s">
        <v>130</v>
      </c>
      <c r="N33" s="17" t="s">
        <v>72</v>
      </c>
      <c r="O33" s="19"/>
      <c r="P33" s="19" t="str">
        <f aca="false">IF(O33="","",O33+10)</f>
        <v/>
      </c>
      <c r="Q33" s="19"/>
      <c r="R33" s="17" t="s">
        <v>106</v>
      </c>
      <c r="S33" s="16"/>
      <c r="T33" s="16" t="s">
        <v>221</v>
      </c>
      <c r="U33" s="17" t="s">
        <v>74</v>
      </c>
    </row>
    <row r="34" customFormat="false" ht="36" hidden="false" customHeight="true" outlineLevel="0" collapsed="false">
      <c r="A34" s="15" t="s">
        <v>81</v>
      </c>
      <c r="B34" s="16" t="s">
        <v>58</v>
      </c>
      <c r="C34" s="16" t="s">
        <v>48</v>
      </c>
      <c r="D34" s="16" t="s">
        <v>241</v>
      </c>
      <c r="E34" s="16" t="s">
        <v>242</v>
      </c>
      <c r="F34" s="16" t="s">
        <v>61</v>
      </c>
      <c r="G34" s="17" t="s">
        <v>62</v>
      </c>
      <c r="H34" s="17" t="s">
        <v>156</v>
      </c>
      <c r="I34" s="16" t="s">
        <v>37</v>
      </c>
      <c r="J34" s="16" t="s">
        <v>37</v>
      </c>
      <c r="K34" s="17" t="s">
        <v>37</v>
      </c>
      <c r="L34" s="18" t="s">
        <v>39</v>
      </c>
      <c r="M34" s="16" t="s">
        <v>243</v>
      </c>
      <c r="N34" s="17" t="s">
        <v>72</v>
      </c>
      <c r="O34" s="19"/>
      <c r="P34" s="19" t="str">
        <f aca="false">IF(O34="","",O34+10)</f>
        <v/>
      </c>
      <c r="Q34" s="19"/>
      <c r="R34" s="17" t="s">
        <v>42</v>
      </c>
      <c r="S34" s="16"/>
      <c r="T34" s="16" t="s">
        <v>244</v>
      </c>
      <c r="U34" s="17" t="s">
        <v>74</v>
      </c>
    </row>
    <row r="35" customFormat="false" ht="36" hidden="false" customHeight="true" outlineLevel="0" collapsed="false">
      <c r="A35" s="15" t="s">
        <v>245</v>
      </c>
      <c r="B35" s="16" t="s">
        <v>58</v>
      </c>
      <c r="C35" s="16" t="s">
        <v>75</v>
      </c>
      <c r="D35" s="16" t="s">
        <v>246</v>
      </c>
      <c r="E35" s="16" t="s">
        <v>247</v>
      </c>
      <c r="F35" s="16" t="s">
        <v>149</v>
      </c>
      <c r="G35" s="17" t="s">
        <v>62</v>
      </c>
      <c r="H35" s="17" t="s">
        <v>156</v>
      </c>
      <c r="I35" s="16" t="s">
        <v>37</v>
      </c>
      <c r="J35" s="16" t="s">
        <v>37</v>
      </c>
      <c r="K35" s="17" t="s">
        <v>37</v>
      </c>
      <c r="L35" s="18" t="s">
        <v>39</v>
      </c>
      <c r="M35" s="16" t="s">
        <v>248</v>
      </c>
      <c r="N35" s="17" t="s">
        <v>72</v>
      </c>
      <c r="O35" s="19"/>
      <c r="P35" s="19" t="str">
        <f aca="false">IF(O35="","",O35+10)</f>
        <v/>
      </c>
      <c r="Q35" s="19"/>
      <c r="R35" s="17" t="s">
        <v>106</v>
      </c>
      <c r="S35" s="16"/>
      <c r="T35" s="16" t="s">
        <v>249</v>
      </c>
      <c r="U35" s="17" t="s">
        <v>74</v>
      </c>
    </row>
    <row r="36" customFormat="false" ht="36" hidden="false" customHeight="true" outlineLevel="0" collapsed="false">
      <c r="A36" s="15" t="s">
        <v>250</v>
      </c>
      <c r="B36" s="16" t="s">
        <v>251</v>
      </c>
      <c r="C36" s="16" t="s">
        <v>90</v>
      </c>
      <c r="D36" s="16" t="s">
        <v>252</v>
      </c>
      <c r="E36" s="16" t="s">
        <v>129</v>
      </c>
      <c r="F36" s="16" t="s">
        <v>253</v>
      </c>
      <c r="G36" s="17" t="s">
        <v>62</v>
      </c>
      <c r="H36" s="17" t="s">
        <v>254</v>
      </c>
      <c r="I36" s="16" t="s">
        <v>37</v>
      </c>
      <c r="J36" s="16" t="s">
        <v>37</v>
      </c>
      <c r="K36" s="17" t="s">
        <v>37</v>
      </c>
      <c r="L36" s="18" t="s">
        <v>39</v>
      </c>
      <c r="M36" s="16" t="s">
        <v>255</v>
      </c>
      <c r="N36" s="17" t="s">
        <v>72</v>
      </c>
      <c r="O36" s="19"/>
      <c r="P36" s="19" t="str">
        <f aca="false">IF(O36="","",O36+10)</f>
        <v/>
      </c>
      <c r="Q36" s="19"/>
      <c r="R36" s="17" t="s">
        <v>106</v>
      </c>
      <c r="S36" s="16"/>
      <c r="T36" s="16" t="s">
        <v>256</v>
      </c>
      <c r="U36" s="17" t="s">
        <v>74</v>
      </c>
    </row>
    <row r="37" customFormat="false" ht="36" hidden="false" customHeight="true" outlineLevel="0" collapsed="false">
      <c r="A37" s="15" t="s">
        <v>257</v>
      </c>
      <c r="B37" s="16" t="s">
        <v>176</v>
      </c>
      <c r="C37" s="16" t="s">
        <v>90</v>
      </c>
      <c r="D37" s="16" t="s">
        <v>258</v>
      </c>
      <c r="E37" s="16" t="s">
        <v>259</v>
      </c>
      <c r="F37" s="16" t="s">
        <v>129</v>
      </c>
      <c r="G37" s="17" t="s">
        <v>52</v>
      </c>
      <c r="H37" s="17" t="s">
        <v>254</v>
      </c>
      <c r="I37" s="16" t="s">
        <v>37</v>
      </c>
      <c r="J37" s="16" t="s">
        <v>37</v>
      </c>
      <c r="K37" s="17" t="s">
        <v>37</v>
      </c>
      <c r="L37" s="18" t="s">
        <v>39</v>
      </c>
      <c r="M37" s="16" t="s">
        <v>260</v>
      </c>
      <c r="N37" s="17" t="s">
        <v>72</v>
      </c>
      <c r="O37" s="19"/>
      <c r="P37" s="19" t="str">
        <f aca="false">IF(O37="","",O37+10)</f>
        <v/>
      </c>
      <c r="Q37" s="19"/>
      <c r="R37" s="17" t="s">
        <v>106</v>
      </c>
      <c r="S37" s="16"/>
      <c r="T37" s="16" t="s">
        <v>261</v>
      </c>
      <c r="U37" s="17" t="s">
        <v>74</v>
      </c>
    </row>
    <row r="38" customFormat="false" ht="36" hidden="false" customHeight="true" outlineLevel="0" collapsed="false">
      <c r="A38" s="15" t="s">
        <v>262</v>
      </c>
      <c r="B38" s="16" t="s">
        <v>176</v>
      </c>
      <c r="C38" s="16" t="s">
        <v>90</v>
      </c>
      <c r="D38" s="16" t="s">
        <v>263</v>
      </c>
      <c r="E38" s="16" t="s">
        <v>264</v>
      </c>
      <c r="F38" s="16" t="s">
        <v>265</v>
      </c>
      <c r="G38" s="17" t="s">
        <v>52</v>
      </c>
      <c r="H38" s="17" t="s">
        <v>254</v>
      </c>
      <c r="I38" s="16" t="s">
        <v>37</v>
      </c>
      <c r="J38" s="16" t="s">
        <v>37</v>
      </c>
      <c r="K38" s="17" t="s">
        <v>37</v>
      </c>
      <c r="L38" s="18" t="s">
        <v>39</v>
      </c>
      <c r="M38" s="16" t="s">
        <v>130</v>
      </c>
      <c r="N38" s="17" t="s">
        <v>72</v>
      </c>
      <c r="O38" s="19"/>
      <c r="P38" s="19" t="str">
        <f aca="false">IF(O38="","",O38+10)</f>
        <v/>
      </c>
      <c r="Q38" s="19"/>
      <c r="R38" s="17" t="s">
        <v>106</v>
      </c>
      <c r="S38" s="16"/>
      <c r="T38" s="16"/>
      <c r="U38" s="17" t="s">
        <v>74</v>
      </c>
    </row>
    <row r="39" customFormat="false" ht="36" hidden="false" customHeight="true" outlineLevel="0" collapsed="false">
      <c r="A39" s="15" t="s">
        <v>266</v>
      </c>
      <c r="B39" s="16" t="s">
        <v>267</v>
      </c>
      <c r="C39" s="16" t="s">
        <v>90</v>
      </c>
      <c r="D39" s="16" t="s">
        <v>268</v>
      </c>
      <c r="E39" s="16" t="s">
        <v>269</v>
      </c>
      <c r="F39" s="16" t="s">
        <v>270</v>
      </c>
      <c r="G39" s="17" t="s">
        <v>52</v>
      </c>
      <c r="H39" s="17" t="s">
        <v>254</v>
      </c>
      <c r="I39" s="16" t="s">
        <v>37</v>
      </c>
      <c r="J39" s="16" t="s">
        <v>37</v>
      </c>
      <c r="K39" s="17" t="s">
        <v>37</v>
      </c>
      <c r="L39" s="18" t="s">
        <v>39</v>
      </c>
      <c r="M39" s="16" t="s">
        <v>207</v>
      </c>
      <c r="N39" s="17" t="s">
        <v>72</v>
      </c>
      <c r="O39" s="19"/>
      <c r="P39" s="19" t="str">
        <f aca="false">IF(O39="","",O39+10)</f>
        <v/>
      </c>
      <c r="Q39" s="19"/>
      <c r="R39" s="17" t="s">
        <v>106</v>
      </c>
      <c r="S39" s="16"/>
      <c r="T39" s="16"/>
      <c r="U39" s="17" t="s">
        <v>74</v>
      </c>
    </row>
    <row r="40" customFormat="false" ht="36" hidden="false" customHeight="true" outlineLevel="0" collapsed="false">
      <c r="A40" s="15" t="s">
        <v>271</v>
      </c>
      <c r="B40" s="16" t="s">
        <v>272</v>
      </c>
      <c r="C40" s="16" t="s">
        <v>90</v>
      </c>
      <c r="D40" s="16" t="s">
        <v>273</v>
      </c>
      <c r="E40" s="16" t="s">
        <v>274</v>
      </c>
      <c r="F40" s="16" t="s">
        <v>129</v>
      </c>
      <c r="G40" s="17" t="s">
        <v>103</v>
      </c>
      <c r="H40" s="17" t="s">
        <v>254</v>
      </c>
      <c r="I40" s="16" t="s">
        <v>37</v>
      </c>
      <c r="J40" s="16" t="s">
        <v>37</v>
      </c>
      <c r="K40" s="17" t="s">
        <v>37</v>
      </c>
      <c r="L40" s="18" t="s">
        <v>39</v>
      </c>
      <c r="M40" s="16" t="s">
        <v>130</v>
      </c>
      <c r="N40" s="17" t="s">
        <v>72</v>
      </c>
      <c r="O40" s="19"/>
      <c r="P40" s="19" t="str">
        <f aca="false">IF(O40="","",O40+10)</f>
        <v/>
      </c>
      <c r="Q40" s="19"/>
      <c r="R40" s="17" t="s">
        <v>106</v>
      </c>
      <c r="S40" s="16"/>
      <c r="T40" s="16"/>
      <c r="U40" s="17" t="s">
        <v>74</v>
      </c>
    </row>
    <row r="41" customFormat="false" ht="36" hidden="false" customHeight="true" outlineLevel="0" collapsed="false">
      <c r="A41" s="15" t="s">
        <v>275</v>
      </c>
      <c r="B41" s="16" t="s">
        <v>30</v>
      </c>
      <c r="C41" s="16" t="s">
        <v>48</v>
      </c>
      <c r="D41" s="16" t="s">
        <v>276</v>
      </c>
      <c r="E41" s="16" t="s">
        <v>277</v>
      </c>
      <c r="F41" s="16" t="s">
        <v>278</v>
      </c>
      <c r="G41" s="17" t="s">
        <v>52</v>
      </c>
      <c r="H41" s="17" t="s">
        <v>254</v>
      </c>
      <c r="I41" s="16" t="s">
        <v>37</v>
      </c>
      <c r="J41" s="16" t="s">
        <v>37</v>
      </c>
      <c r="K41" s="17" t="s">
        <v>37</v>
      </c>
      <c r="L41" s="18" t="s">
        <v>39</v>
      </c>
      <c r="M41" s="16" t="s">
        <v>279</v>
      </c>
      <c r="N41" s="17" t="s">
        <v>72</v>
      </c>
      <c r="O41" s="19"/>
      <c r="P41" s="19" t="str">
        <f aca="false">IF(O41="","",O41+10)</f>
        <v/>
      </c>
      <c r="Q41" s="19"/>
      <c r="R41" s="17" t="s">
        <v>106</v>
      </c>
      <c r="S41" s="16"/>
      <c r="T41" s="16"/>
      <c r="U41" s="17" t="s">
        <v>74</v>
      </c>
    </row>
    <row r="42" customFormat="false" ht="36" hidden="false" customHeight="true" outlineLevel="0" collapsed="false">
      <c r="A42" s="15" t="s">
        <v>280</v>
      </c>
      <c r="B42" s="16" t="s">
        <v>210</v>
      </c>
      <c r="C42" s="16" t="s">
        <v>48</v>
      </c>
      <c r="D42" s="16" t="s">
        <v>281</v>
      </c>
      <c r="E42" s="16" t="s">
        <v>282</v>
      </c>
      <c r="F42" s="16" t="s">
        <v>129</v>
      </c>
      <c r="G42" s="17" t="s">
        <v>35</v>
      </c>
      <c r="H42" s="17" t="s">
        <v>254</v>
      </c>
      <c r="I42" s="16" t="s">
        <v>37</v>
      </c>
      <c r="J42" s="16" t="s">
        <v>37</v>
      </c>
      <c r="K42" s="17" t="s">
        <v>37</v>
      </c>
      <c r="L42" s="18" t="s">
        <v>39</v>
      </c>
      <c r="M42" s="16" t="s">
        <v>207</v>
      </c>
      <c r="N42" s="17" t="s">
        <v>72</v>
      </c>
      <c r="O42" s="19"/>
      <c r="P42" s="19" t="str">
        <f aca="false">IF(O42="","",O42+10)</f>
        <v/>
      </c>
      <c r="Q42" s="19"/>
      <c r="R42" s="17" t="s">
        <v>106</v>
      </c>
      <c r="S42" s="16"/>
      <c r="T42" s="16"/>
      <c r="U42" s="17" t="s">
        <v>74</v>
      </c>
    </row>
    <row r="43" customFormat="false" ht="36" hidden="false" customHeight="true" outlineLevel="0" collapsed="false">
      <c r="A43" s="15" t="s">
        <v>283</v>
      </c>
      <c r="B43" s="16" t="s">
        <v>284</v>
      </c>
      <c r="C43" s="16" t="s">
        <v>48</v>
      </c>
      <c r="D43" s="16" t="s">
        <v>285</v>
      </c>
      <c r="E43" s="16" t="s">
        <v>129</v>
      </c>
      <c r="F43" s="16" t="s">
        <v>286</v>
      </c>
      <c r="G43" s="17" t="s">
        <v>62</v>
      </c>
      <c r="H43" s="17" t="s">
        <v>254</v>
      </c>
      <c r="I43" s="16" t="s">
        <v>37</v>
      </c>
      <c r="J43" s="16" t="s">
        <v>37</v>
      </c>
      <c r="K43" s="17" t="s">
        <v>37</v>
      </c>
      <c r="L43" s="18" t="s">
        <v>39</v>
      </c>
      <c r="M43" s="16" t="s">
        <v>287</v>
      </c>
      <c r="N43" s="17" t="s">
        <v>72</v>
      </c>
      <c r="O43" s="19"/>
      <c r="P43" s="19" t="str">
        <f aca="false">IF(O43="","",O43+10)</f>
        <v/>
      </c>
      <c r="Q43" s="19"/>
      <c r="R43" s="17" t="s">
        <v>106</v>
      </c>
      <c r="S43" s="16"/>
      <c r="T43" s="16"/>
      <c r="U43" s="17" t="s">
        <v>74</v>
      </c>
    </row>
    <row r="44" customFormat="false" ht="36" hidden="false" customHeight="true" outlineLevel="0" collapsed="false">
      <c r="A44" s="15" t="s">
        <v>288</v>
      </c>
      <c r="B44" s="16" t="s">
        <v>58</v>
      </c>
      <c r="C44" s="16" t="s">
        <v>48</v>
      </c>
      <c r="D44" s="16" t="s">
        <v>289</v>
      </c>
      <c r="E44" s="16" t="s">
        <v>290</v>
      </c>
      <c r="F44" s="16" t="s">
        <v>129</v>
      </c>
      <c r="G44" s="17" t="s">
        <v>62</v>
      </c>
      <c r="H44" s="17" t="s">
        <v>254</v>
      </c>
      <c r="I44" s="16" t="s">
        <v>37</v>
      </c>
      <c r="J44" s="16" t="s">
        <v>37</v>
      </c>
      <c r="K44" s="17" t="s">
        <v>37</v>
      </c>
      <c r="L44" s="18" t="s">
        <v>39</v>
      </c>
      <c r="M44" s="16" t="s">
        <v>291</v>
      </c>
      <c r="N44" s="17" t="s">
        <v>72</v>
      </c>
      <c r="O44" s="19"/>
      <c r="P44" s="19" t="str">
        <f aca="false">IF(O44="","",O44+10)</f>
        <v/>
      </c>
      <c r="Q44" s="19"/>
      <c r="R44" s="17" t="s">
        <v>106</v>
      </c>
      <c r="S44" s="16"/>
      <c r="T44" s="16"/>
      <c r="U44" s="17" t="s">
        <v>74</v>
      </c>
    </row>
    <row r="45" customFormat="false" ht="36" hidden="false" customHeight="true" outlineLevel="0" collapsed="false">
      <c r="A45" s="15" t="s">
        <v>292</v>
      </c>
      <c r="B45" s="16" t="s">
        <v>293</v>
      </c>
      <c r="C45" s="16" t="s">
        <v>90</v>
      </c>
      <c r="D45" s="16" t="s">
        <v>294</v>
      </c>
      <c r="E45" s="16" t="s">
        <v>129</v>
      </c>
      <c r="F45" s="16" t="s">
        <v>129</v>
      </c>
      <c r="G45" s="17" t="s">
        <v>62</v>
      </c>
      <c r="H45" s="17" t="s">
        <v>254</v>
      </c>
      <c r="I45" s="16" t="s">
        <v>295</v>
      </c>
      <c r="J45" s="16" t="s">
        <v>37</v>
      </c>
      <c r="K45" s="17" t="s">
        <v>37</v>
      </c>
      <c r="L45" s="17" t="s">
        <v>129</v>
      </c>
      <c r="M45" s="16" t="s">
        <v>296</v>
      </c>
      <c r="N45" s="17" t="s">
        <v>95</v>
      </c>
      <c r="O45" s="19"/>
      <c r="P45" s="19" t="str">
        <f aca="false">IF(O45="","",O45+10)</f>
        <v/>
      </c>
      <c r="Q45" s="19"/>
      <c r="R45" s="17" t="s">
        <v>106</v>
      </c>
      <c r="S45" s="16"/>
      <c r="T45" s="16" t="s">
        <v>297</v>
      </c>
      <c r="U45" s="17" t="s">
        <v>74</v>
      </c>
    </row>
    <row r="46" customFormat="false" ht="15" hidden="false" customHeight="false" outlineLevel="0" collapsed="false">
      <c r="O46" s="20"/>
      <c r="P46" s="20" t="str">
        <f aca="false">IF(O46="","",O46+10)</f>
        <v/>
      </c>
      <c r="Q46" s="20"/>
    </row>
    <row r="47" customFormat="false" ht="15" hidden="false" customHeight="false" outlineLevel="0" collapsed="false">
      <c r="O47" s="20"/>
      <c r="P47" s="20" t="str">
        <f aca="false">IF(O47="","",O47+10)</f>
        <v/>
      </c>
      <c r="Q47" s="20"/>
    </row>
    <row r="48" customFormat="false" ht="15" hidden="false" customHeight="false" outlineLevel="0" collapsed="false">
      <c r="O48" s="20"/>
      <c r="P48" s="20" t="str">
        <f aca="false">IF(O48="","",O48+10)</f>
        <v/>
      </c>
      <c r="Q48" s="20"/>
    </row>
    <row r="49" customFormat="false" ht="15" hidden="false" customHeight="false" outlineLevel="0" collapsed="false">
      <c r="O49" s="20"/>
      <c r="P49" s="20" t="str">
        <f aca="false">IF(O49="","",O49+10)</f>
        <v/>
      </c>
      <c r="Q49" s="20"/>
    </row>
    <row r="50" customFormat="false" ht="15" hidden="false" customHeight="false" outlineLevel="0" collapsed="false">
      <c r="O50" s="20"/>
      <c r="P50" s="20" t="str">
        <f aca="false">IF(O50="","",O50+10)</f>
        <v/>
      </c>
      <c r="Q50" s="20"/>
    </row>
    <row r="51" customFormat="false" ht="15" hidden="false" customHeight="false" outlineLevel="0" collapsed="false">
      <c r="O51" s="20"/>
      <c r="P51" s="20" t="str">
        <f aca="false">IF(O51="","",O51+10)</f>
        <v/>
      </c>
      <c r="Q51" s="20"/>
    </row>
    <row r="52" customFormat="false" ht="15" hidden="false" customHeight="false" outlineLevel="0" collapsed="false">
      <c r="O52" s="20"/>
      <c r="P52" s="20" t="str">
        <f aca="false">IF(O52="","",O52+10)</f>
        <v/>
      </c>
      <c r="Q52" s="20"/>
    </row>
    <row r="53" customFormat="false" ht="15" hidden="false" customHeight="false" outlineLevel="0" collapsed="false">
      <c r="O53" s="20"/>
      <c r="P53" s="20" t="str">
        <f aca="false">IF(O53="","",O53+10)</f>
        <v/>
      </c>
      <c r="Q53" s="20"/>
    </row>
    <row r="54" customFormat="false" ht="15" hidden="false" customHeight="false" outlineLevel="0" collapsed="false">
      <c r="O54" s="20"/>
      <c r="P54" s="20" t="str">
        <f aca="false">IF(O54="","",O54+10)</f>
        <v/>
      </c>
      <c r="Q54" s="20"/>
    </row>
    <row r="55" customFormat="false" ht="15" hidden="false" customHeight="false" outlineLevel="0" collapsed="false">
      <c r="O55" s="20"/>
      <c r="P55" s="20" t="str">
        <f aca="false">IF(O55="","",O55+10)</f>
        <v/>
      </c>
      <c r="Q55" s="20"/>
    </row>
    <row r="56" customFormat="false" ht="15" hidden="false" customHeight="false" outlineLevel="0" collapsed="false">
      <c r="O56" s="20"/>
      <c r="P56" s="20" t="str">
        <f aca="false">IF(O56="","",O56+10)</f>
        <v/>
      </c>
      <c r="Q56" s="20"/>
    </row>
    <row r="57" customFormat="false" ht="15" hidden="false" customHeight="false" outlineLevel="0" collapsed="false">
      <c r="O57" s="20"/>
      <c r="P57" s="20" t="str">
        <f aca="false">IF(O57="","",O57+10)</f>
        <v/>
      </c>
      <c r="Q57" s="20"/>
    </row>
    <row r="58" customFormat="false" ht="15" hidden="false" customHeight="false" outlineLevel="0" collapsed="false">
      <c r="O58" s="20"/>
      <c r="P58" s="20" t="str">
        <f aca="false">IF(O58="","",O58+10)</f>
        <v/>
      </c>
      <c r="Q58" s="20"/>
    </row>
    <row r="59" customFormat="false" ht="15" hidden="false" customHeight="false" outlineLevel="0" collapsed="false">
      <c r="O59" s="20"/>
      <c r="P59" s="20" t="str">
        <f aca="false">IF(O59="","",O59+10)</f>
        <v/>
      </c>
      <c r="Q59" s="20"/>
    </row>
    <row r="60" customFormat="false" ht="15" hidden="false" customHeight="false" outlineLevel="0" collapsed="false">
      <c r="O60" s="20"/>
      <c r="P60" s="20" t="str">
        <f aca="false">IF(O60="","",O60+10)</f>
        <v/>
      </c>
      <c r="Q60" s="20"/>
    </row>
    <row r="61" customFormat="false" ht="15" hidden="false" customHeight="false" outlineLevel="0" collapsed="false">
      <c r="O61" s="20"/>
      <c r="P61" s="20" t="str">
        <f aca="false">IF(O61="","",O61+10)</f>
        <v/>
      </c>
      <c r="Q61" s="20"/>
    </row>
    <row r="62" customFormat="false" ht="15" hidden="false" customHeight="false" outlineLevel="0" collapsed="false">
      <c r="O62" s="20"/>
      <c r="P62" s="20" t="str">
        <f aca="false">IF(O62="","",O62+10)</f>
        <v/>
      </c>
      <c r="Q62" s="20"/>
    </row>
    <row r="63" customFormat="false" ht="15" hidden="false" customHeight="false" outlineLevel="0" collapsed="false">
      <c r="O63" s="20"/>
      <c r="P63" s="20" t="str">
        <f aca="false">IF(O63="","",O63+10)</f>
        <v/>
      </c>
      <c r="Q63" s="20"/>
    </row>
    <row r="64" customFormat="false" ht="15" hidden="false" customHeight="false" outlineLevel="0" collapsed="false">
      <c r="O64" s="20"/>
      <c r="P64" s="20" t="str">
        <f aca="false">IF(O64="","",O64+10)</f>
        <v/>
      </c>
      <c r="Q64" s="20"/>
    </row>
    <row r="65" customFormat="false" ht="15" hidden="false" customHeight="false" outlineLevel="0" collapsed="false">
      <c r="O65" s="20"/>
      <c r="P65" s="20" t="str">
        <f aca="false">IF(O65="","",O65+10)</f>
        <v/>
      </c>
      <c r="Q65" s="20"/>
    </row>
    <row r="66" customFormat="false" ht="15" hidden="false" customHeight="false" outlineLevel="0" collapsed="false">
      <c r="O66" s="20"/>
      <c r="P66" s="20" t="str">
        <f aca="false">IF(O66="","",O66+10)</f>
        <v/>
      </c>
      <c r="Q66" s="20"/>
    </row>
    <row r="67" customFormat="false" ht="15" hidden="false" customHeight="false" outlineLevel="0" collapsed="false">
      <c r="O67" s="20"/>
      <c r="P67" s="20" t="str">
        <f aca="false">IF(O67="","",O67+10)</f>
        <v/>
      </c>
      <c r="Q67" s="20"/>
    </row>
    <row r="68" customFormat="false" ht="15" hidden="false" customHeight="false" outlineLevel="0" collapsed="false">
      <c r="O68" s="20"/>
      <c r="P68" s="20" t="str">
        <f aca="false">IF(O68="","",O68+10)</f>
        <v/>
      </c>
      <c r="Q68" s="20"/>
    </row>
    <row r="69" customFormat="false" ht="15" hidden="false" customHeight="false" outlineLevel="0" collapsed="false">
      <c r="O69" s="20"/>
      <c r="P69" s="20" t="str">
        <f aca="false">IF(O69="","",O69+10)</f>
        <v/>
      </c>
      <c r="Q69" s="20"/>
    </row>
    <row r="70" customFormat="false" ht="15" hidden="false" customHeight="false" outlineLevel="0" collapsed="false">
      <c r="O70" s="20"/>
      <c r="P70" s="20" t="str">
        <f aca="false">IF(O70="","",O70+10)</f>
        <v/>
      </c>
      <c r="Q70" s="20"/>
    </row>
    <row r="71" customFormat="false" ht="15" hidden="false" customHeight="false" outlineLevel="0" collapsed="false">
      <c r="O71" s="20"/>
      <c r="P71" s="20" t="str">
        <f aca="false">IF(O71="","",O71+10)</f>
        <v/>
      </c>
      <c r="Q71" s="20"/>
    </row>
    <row r="72" customFormat="false" ht="15" hidden="false" customHeight="false" outlineLevel="0" collapsed="false">
      <c r="O72" s="20"/>
      <c r="P72" s="20" t="str">
        <f aca="false">IF(O72="","",O72+10)</f>
        <v/>
      </c>
      <c r="Q72" s="20"/>
    </row>
    <row r="73" customFormat="false" ht="15" hidden="false" customHeight="false" outlineLevel="0" collapsed="false">
      <c r="O73" s="20"/>
      <c r="P73" s="20" t="str">
        <f aca="false">IF(O73="","",O73+10)</f>
        <v/>
      </c>
      <c r="Q73" s="20"/>
    </row>
    <row r="74" customFormat="false" ht="15" hidden="false" customHeight="false" outlineLevel="0" collapsed="false">
      <c r="O74" s="20"/>
      <c r="P74" s="20" t="str">
        <f aca="false">IF(O74="","",O74+10)</f>
        <v/>
      </c>
      <c r="Q74" s="20"/>
    </row>
    <row r="75" customFormat="false" ht="15" hidden="false" customHeight="false" outlineLevel="0" collapsed="false">
      <c r="O75" s="20"/>
      <c r="P75" s="20" t="str">
        <f aca="false">IF(O75="","",O75+10)</f>
        <v/>
      </c>
      <c r="Q75" s="20"/>
    </row>
    <row r="76" customFormat="false" ht="15" hidden="false" customHeight="false" outlineLevel="0" collapsed="false">
      <c r="O76" s="20"/>
      <c r="P76" s="20" t="str">
        <f aca="false">IF(O76="","",O76+10)</f>
        <v/>
      </c>
      <c r="Q76" s="20"/>
    </row>
    <row r="77" customFormat="false" ht="15" hidden="false" customHeight="false" outlineLevel="0" collapsed="false">
      <c r="O77" s="20"/>
      <c r="P77" s="20" t="str">
        <f aca="false">IF(O77="","",O77+10)</f>
        <v/>
      </c>
      <c r="Q77" s="20"/>
    </row>
    <row r="78" customFormat="false" ht="15" hidden="false" customHeight="false" outlineLevel="0" collapsed="false">
      <c r="O78" s="20"/>
      <c r="P78" s="20" t="str">
        <f aca="false">IF(O78="","",O78+10)</f>
        <v/>
      </c>
      <c r="Q78" s="20"/>
    </row>
    <row r="79" customFormat="false" ht="15" hidden="false" customHeight="false" outlineLevel="0" collapsed="false">
      <c r="O79" s="20"/>
      <c r="P79" s="20" t="str">
        <f aca="false">IF(O79="","",O79+10)</f>
        <v/>
      </c>
      <c r="Q79" s="20"/>
    </row>
    <row r="80" customFormat="false" ht="15" hidden="false" customHeight="false" outlineLevel="0" collapsed="false">
      <c r="O80" s="20"/>
      <c r="P80" s="20" t="str">
        <f aca="false">IF(O80="","",O80+10)</f>
        <v/>
      </c>
      <c r="Q80" s="20"/>
    </row>
    <row r="81" customFormat="false" ht="15" hidden="false" customHeight="false" outlineLevel="0" collapsed="false">
      <c r="O81" s="20"/>
      <c r="P81" s="20" t="str">
        <f aca="false">IF(O81="","",O81+10)</f>
        <v/>
      </c>
      <c r="Q81" s="20"/>
    </row>
    <row r="82" customFormat="false" ht="15" hidden="false" customHeight="false" outlineLevel="0" collapsed="false">
      <c r="O82" s="20"/>
      <c r="P82" s="20" t="str">
        <f aca="false">IF(O82="","",O82+10)</f>
        <v/>
      </c>
      <c r="Q82" s="20"/>
    </row>
    <row r="83" customFormat="false" ht="15" hidden="false" customHeight="false" outlineLevel="0" collapsed="false">
      <c r="O83" s="20"/>
      <c r="P83" s="20" t="str">
        <f aca="false">IF(O83="","",O83+10)</f>
        <v/>
      </c>
      <c r="Q83" s="20"/>
    </row>
    <row r="84" customFormat="false" ht="15" hidden="false" customHeight="false" outlineLevel="0" collapsed="false">
      <c r="O84" s="20"/>
      <c r="P84" s="20" t="str">
        <f aca="false">IF(O84="","",O84+10)</f>
        <v/>
      </c>
      <c r="Q84" s="20"/>
    </row>
    <row r="85" customFormat="false" ht="15" hidden="false" customHeight="false" outlineLevel="0" collapsed="false">
      <c r="O85" s="20"/>
      <c r="P85" s="20" t="str">
        <f aca="false">IF(O85="","",O85+10)</f>
        <v/>
      </c>
      <c r="Q85" s="20"/>
    </row>
    <row r="86" customFormat="false" ht="15" hidden="false" customHeight="false" outlineLevel="0" collapsed="false">
      <c r="O86" s="20"/>
      <c r="P86" s="20" t="str">
        <f aca="false">IF(O86="","",O86+10)</f>
        <v/>
      </c>
      <c r="Q86" s="20"/>
    </row>
    <row r="87" customFormat="false" ht="15" hidden="false" customHeight="false" outlineLevel="0" collapsed="false">
      <c r="O87" s="20"/>
      <c r="P87" s="20" t="str">
        <f aca="false">IF(O87="","",O87+10)</f>
        <v/>
      </c>
      <c r="Q87" s="20"/>
    </row>
    <row r="88" customFormat="false" ht="15" hidden="false" customHeight="false" outlineLevel="0" collapsed="false">
      <c r="O88" s="20"/>
      <c r="P88" s="20" t="str">
        <f aca="false">IF(O88="","",O88+10)</f>
        <v/>
      </c>
      <c r="Q88" s="20"/>
    </row>
    <row r="89" customFormat="false" ht="15" hidden="false" customHeight="false" outlineLevel="0" collapsed="false">
      <c r="O89" s="20"/>
      <c r="P89" s="20" t="str">
        <f aca="false">IF(O89="","",O89+10)</f>
        <v/>
      </c>
      <c r="Q89" s="20"/>
    </row>
    <row r="90" customFormat="false" ht="15" hidden="false" customHeight="false" outlineLevel="0" collapsed="false">
      <c r="O90" s="20"/>
      <c r="P90" s="20" t="str">
        <f aca="false">IF(O90="","",O90+10)</f>
        <v/>
      </c>
      <c r="Q90" s="20"/>
    </row>
    <row r="91" customFormat="false" ht="15" hidden="false" customHeight="false" outlineLevel="0" collapsed="false">
      <c r="O91" s="20"/>
      <c r="P91" s="20" t="str">
        <f aca="false">IF(O91="","",O91+10)</f>
        <v/>
      </c>
      <c r="Q91" s="20"/>
    </row>
    <row r="92" customFormat="false" ht="15" hidden="false" customHeight="false" outlineLevel="0" collapsed="false">
      <c r="O92" s="20"/>
      <c r="P92" s="20" t="str">
        <f aca="false">IF(O92="","",O92+10)</f>
        <v/>
      </c>
      <c r="Q92" s="20"/>
    </row>
    <row r="93" customFormat="false" ht="15" hidden="false" customHeight="false" outlineLevel="0" collapsed="false">
      <c r="O93" s="20"/>
      <c r="P93" s="20" t="str">
        <f aca="false">IF(O93="","",O93+10)</f>
        <v/>
      </c>
      <c r="Q93" s="20"/>
    </row>
    <row r="94" customFormat="false" ht="15" hidden="false" customHeight="false" outlineLevel="0" collapsed="false">
      <c r="O94" s="20"/>
      <c r="P94" s="20" t="str">
        <f aca="false">IF(O94="","",O94+10)</f>
        <v/>
      </c>
      <c r="Q94" s="20"/>
    </row>
    <row r="95" customFormat="false" ht="15" hidden="false" customHeight="false" outlineLevel="0" collapsed="false">
      <c r="O95" s="20"/>
      <c r="P95" s="20" t="str">
        <f aca="false">IF(O95="","",O95+10)</f>
        <v/>
      </c>
      <c r="Q95" s="20"/>
    </row>
    <row r="96" customFormat="false" ht="15" hidden="false" customHeight="false" outlineLevel="0" collapsed="false">
      <c r="O96" s="20"/>
      <c r="P96" s="20" t="str">
        <f aca="false">IF(O96="","",O96+10)</f>
        <v/>
      </c>
      <c r="Q96" s="20"/>
    </row>
    <row r="97" customFormat="false" ht="15" hidden="false" customHeight="false" outlineLevel="0" collapsed="false">
      <c r="O97" s="20"/>
      <c r="P97" s="20" t="str">
        <f aca="false">IF(O97="","",O97+10)</f>
        <v/>
      </c>
      <c r="Q97" s="20"/>
    </row>
    <row r="98" customFormat="false" ht="15" hidden="false" customHeight="false" outlineLevel="0" collapsed="false">
      <c r="O98" s="20"/>
      <c r="P98" s="20" t="str">
        <f aca="false">IF(O98="","",O98+10)</f>
        <v/>
      </c>
      <c r="Q98" s="20"/>
    </row>
    <row r="99" customFormat="false" ht="15" hidden="false" customHeight="false" outlineLevel="0" collapsed="false">
      <c r="O99" s="20"/>
      <c r="P99" s="20" t="str">
        <f aca="false">IF(O99="","",O99+10)</f>
        <v/>
      </c>
      <c r="Q99" s="20"/>
    </row>
    <row r="100" customFormat="false" ht="15" hidden="false" customHeight="false" outlineLevel="0" collapsed="false">
      <c r="O100" s="20"/>
      <c r="P100" s="20" t="str">
        <f aca="false">IF(O100="","",O100+10)</f>
        <v/>
      </c>
      <c r="Q100" s="20"/>
    </row>
    <row r="101" customFormat="false" ht="15" hidden="false" customHeight="false" outlineLevel="0" collapsed="false">
      <c r="O101" s="20"/>
      <c r="P101" s="20" t="str">
        <f aca="false">IF(O101="","",O101+10)</f>
        <v/>
      </c>
      <c r="Q101" s="20"/>
    </row>
    <row r="102" customFormat="false" ht="15" hidden="false" customHeight="false" outlineLevel="0" collapsed="false">
      <c r="O102" s="20"/>
      <c r="P102" s="20" t="str">
        <f aca="false">IF(O102="","",O102+10)</f>
        <v/>
      </c>
      <c r="Q102" s="20"/>
    </row>
    <row r="103" customFormat="false" ht="15" hidden="false" customHeight="false" outlineLevel="0" collapsed="false">
      <c r="O103" s="20"/>
      <c r="P103" s="20" t="str">
        <f aca="false">IF(O103="","",O103+10)</f>
        <v/>
      </c>
      <c r="Q103" s="20"/>
    </row>
    <row r="104" customFormat="false" ht="15" hidden="false" customHeight="false" outlineLevel="0" collapsed="false">
      <c r="O104" s="20"/>
      <c r="P104" s="20" t="str">
        <f aca="false">IF(O104="","",O104+10)</f>
        <v/>
      </c>
      <c r="Q104" s="20"/>
    </row>
    <row r="105" customFormat="false" ht="15" hidden="false" customHeight="false" outlineLevel="0" collapsed="false">
      <c r="O105" s="20"/>
      <c r="P105" s="20" t="str">
        <f aca="false">IF(O105="","",O105+10)</f>
        <v/>
      </c>
      <c r="Q105" s="20"/>
    </row>
    <row r="106" customFormat="false" ht="15" hidden="false" customHeight="false" outlineLevel="0" collapsed="false">
      <c r="O106" s="20"/>
      <c r="P106" s="20" t="str">
        <f aca="false">IF(O106="","",O106+10)</f>
        <v/>
      </c>
      <c r="Q106" s="20"/>
    </row>
    <row r="107" customFormat="false" ht="15" hidden="false" customHeight="false" outlineLevel="0" collapsed="false">
      <c r="O107" s="20"/>
      <c r="P107" s="20" t="str">
        <f aca="false">IF(O107="","",O107+10)</f>
        <v/>
      </c>
      <c r="Q107" s="20"/>
    </row>
    <row r="108" customFormat="false" ht="15" hidden="false" customHeight="false" outlineLevel="0" collapsed="false">
      <c r="O108" s="20"/>
      <c r="P108" s="20" t="str">
        <f aca="false">IF(O108="","",O108+10)</f>
        <v/>
      </c>
      <c r="Q108" s="20"/>
    </row>
    <row r="109" customFormat="false" ht="15" hidden="false" customHeight="false" outlineLevel="0" collapsed="false">
      <c r="O109" s="20"/>
      <c r="P109" s="20" t="str">
        <f aca="false">IF(O109="","",O109+10)</f>
        <v/>
      </c>
      <c r="Q109" s="20"/>
    </row>
    <row r="110" customFormat="false" ht="15" hidden="false" customHeight="false" outlineLevel="0" collapsed="false">
      <c r="O110" s="20"/>
      <c r="P110" s="20" t="str">
        <f aca="false">IF(O110="","",O110+10)</f>
        <v/>
      </c>
      <c r="Q110" s="20"/>
    </row>
    <row r="111" customFormat="false" ht="15" hidden="false" customHeight="false" outlineLevel="0" collapsed="false">
      <c r="O111" s="20"/>
      <c r="P111" s="20" t="str">
        <f aca="false">IF(O111="","",O111+10)</f>
        <v/>
      </c>
      <c r="Q111" s="20"/>
    </row>
    <row r="112" customFormat="false" ht="15" hidden="false" customHeight="false" outlineLevel="0" collapsed="false">
      <c r="O112" s="20"/>
      <c r="P112" s="20" t="str">
        <f aca="false">IF(O112="","",O112+10)</f>
        <v/>
      </c>
      <c r="Q112" s="20"/>
    </row>
    <row r="113" customFormat="false" ht="15" hidden="false" customHeight="false" outlineLevel="0" collapsed="false">
      <c r="O113" s="20"/>
      <c r="P113" s="20" t="str">
        <f aca="false">IF(O113="","",O113+10)</f>
        <v/>
      </c>
      <c r="Q113" s="20"/>
    </row>
    <row r="114" customFormat="false" ht="15" hidden="false" customHeight="false" outlineLevel="0" collapsed="false">
      <c r="O114" s="20"/>
      <c r="P114" s="20" t="str">
        <f aca="false">IF(O114="","",O114+10)</f>
        <v/>
      </c>
      <c r="Q114" s="20"/>
    </row>
    <row r="115" customFormat="false" ht="15" hidden="false" customHeight="false" outlineLevel="0" collapsed="false">
      <c r="O115" s="20"/>
      <c r="P115" s="20" t="str">
        <f aca="false">IF(O115="","",O115+10)</f>
        <v/>
      </c>
      <c r="Q115" s="20"/>
    </row>
    <row r="116" customFormat="false" ht="15" hidden="false" customHeight="false" outlineLevel="0" collapsed="false">
      <c r="O116" s="20"/>
      <c r="P116" s="20" t="str">
        <f aca="false">IF(O116="","",O116+10)</f>
        <v/>
      </c>
      <c r="Q116" s="20"/>
    </row>
    <row r="117" customFormat="false" ht="15" hidden="false" customHeight="false" outlineLevel="0" collapsed="false">
      <c r="O117" s="20"/>
      <c r="P117" s="20" t="str">
        <f aca="false">IF(O117="","",O117+10)</f>
        <v/>
      </c>
      <c r="Q117" s="20"/>
    </row>
    <row r="118" customFormat="false" ht="15" hidden="false" customHeight="false" outlineLevel="0" collapsed="false">
      <c r="O118" s="20"/>
      <c r="P118" s="20" t="str">
        <f aca="false">IF(O118="","",O118+10)</f>
        <v/>
      </c>
      <c r="Q118" s="20"/>
    </row>
    <row r="119" customFormat="false" ht="15" hidden="false" customHeight="false" outlineLevel="0" collapsed="false">
      <c r="O119" s="20"/>
      <c r="P119" s="20" t="str">
        <f aca="false">IF(O119="","",O119+10)</f>
        <v/>
      </c>
      <c r="Q119" s="20"/>
    </row>
    <row r="120" customFormat="false" ht="15" hidden="false" customHeight="false" outlineLevel="0" collapsed="false">
      <c r="O120" s="20"/>
      <c r="P120" s="20" t="str">
        <f aca="false">IF(O120="","",O120+10)</f>
        <v/>
      </c>
      <c r="Q120" s="20"/>
    </row>
    <row r="121" customFormat="false" ht="15" hidden="false" customHeight="false" outlineLevel="0" collapsed="false">
      <c r="O121" s="20"/>
      <c r="P121" s="20" t="str">
        <f aca="false">IF(O121="","",O121+10)</f>
        <v/>
      </c>
      <c r="Q121" s="20"/>
    </row>
    <row r="122" customFormat="false" ht="15" hidden="false" customHeight="false" outlineLevel="0" collapsed="false">
      <c r="O122" s="20"/>
      <c r="P122" s="20" t="str">
        <f aca="false">IF(O122="","",O122+10)</f>
        <v/>
      </c>
      <c r="Q122" s="20"/>
    </row>
    <row r="123" customFormat="false" ht="15" hidden="false" customHeight="false" outlineLevel="0" collapsed="false">
      <c r="O123" s="20"/>
      <c r="P123" s="20" t="str">
        <f aca="false">IF(O123="","",O123+10)</f>
        <v/>
      </c>
      <c r="Q123" s="20"/>
    </row>
    <row r="124" customFormat="false" ht="15" hidden="false" customHeight="false" outlineLevel="0" collapsed="false">
      <c r="O124" s="20"/>
      <c r="P124" s="20" t="str">
        <f aca="false">IF(O124="","",O124+10)</f>
        <v/>
      </c>
      <c r="Q124" s="20"/>
    </row>
    <row r="125" customFormat="false" ht="15" hidden="false" customHeight="false" outlineLevel="0" collapsed="false">
      <c r="O125" s="20"/>
      <c r="P125" s="20" t="str">
        <f aca="false">IF(O125="","",O125+10)</f>
        <v/>
      </c>
      <c r="Q125" s="20"/>
    </row>
    <row r="126" customFormat="false" ht="15" hidden="false" customHeight="false" outlineLevel="0" collapsed="false">
      <c r="O126" s="20"/>
      <c r="P126" s="20" t="str">
        <f aca="false">IF(O126="","",O126+10)</f>
        <v/>
      </c>
      <c r="Q126" s="20"/>
    </row>
    <row r="127" customFormat="false" ht="15" hidden="false" customHeight="false" outlineLevel="0" collapsed="false">
      <c r="O127" s="20"/>
      <c r="P127" s="20" t="str">
        <f aca="false">IF(O127="","",O127+10)</f>
        <v/>
      </c>
      <c r="Q127" s="20"/>
    </row>
    <row r="128" customFormat="false" ht="15" hidden="false" customHeight="false" outlineLevel="0" collapsed="false">
      <c r="O128" s="20"/>
      <c r="P128" s="20" t="str">
        <f aca="false">IF(O128="","",O128+10)</f>
        <v/>
      </c>
      <c r="Q128" s="20"/>
    </row>
    <row r="129" customFormat="false" ht="15" hidden="false" customHeight="false" outlineLevel="0" collapsed="false">
      <c r="O129" s="20"/>
      <c r="P129" s="20" t="str">
        <f aca="false">IF(O129="","",O129+10)</f>
        <v/>
      </c>
      <c r="Q129" s="20"/>
    </row>
    <row r="130" customFormat="false" ht="15" hidden="false" customHeight="false" outlineLevel="0" collapsed="false">
      <c r="O130" s="20"/>
      <c r="P130" s="20" t="str">
        <f aca="false">IF(O130="","",O130+10)</f>
        <v/>
      </c>
      <c r="Q130" s="20"/>
    </row>
    <row r="131" customFormat="false" ht="15" hidden="false" customHeight="false" outlineLevel="0" collapsed="false">
      <c r="O131" s="20"/>
      <c r="P131" s="20" t="str">
        <f aca="false">IF(O131="","",O131+10)</f>
        <v/>
      </c>
      <c r="Q131" s="20"/>
    </row>
    <row r="132" customFormat="false" ht="15" hidden="false" customHeight="false" outlineLevel="0" collapsed="false">
      <c r="O132" s="20"/>
      <c r="P132" s="20" t="str">
        <f aca="false">IF(O132="","",O132+10)</f>
        <v/>
      </c>
      <c r="Q132" s="20"/>
    </row>
    <row r="133" customFormat="false" ht="15" hidden="false" customHeight="false" outlineLevel="0" collapsed="false">
      <c r="O133" s="20"/>
      <c r="P133" s="20" t="str">
        <f aca="false">IF(O133="","",O133+10)</f>
        <v/>
      </c>
      <c r="Q133" s="20"/>
    </row>
    <row r="134" customFormat="false" ht="15" hidden="false" customHeight="false" outlineLevel="0" collapsed="false">
      <c r="O134" s="20"/>
      <c r="P134" s="20" t="str">
        <f aca="false">IF(O134="","",O134+10)</f>
        <v/>
      </c>
      <c r="Q134" s="20"/>
    </row>
    <row r="135" customFormat="false" ht="15" hidden="false" customHeight="false" outlineLevel="0" collapsed="false">
      <c r="O135" s="20"/>
      <c r="P135" s="20" t="str">
        <f aca="false">IF(O135="","",O135+10)</f>
        <v/>
      </c>
      <c r="Q135" s="20"/>
    </row>
    <row r="136" customFormat="false" ht="15" hidden="false" customHeight="false" outlineLevel="0" collapsed="false">
      <c r="O136" s="20"/>
      <c r="P136" s="20" t="str">
        <f aca="false">IF(O136="","",O136+10)</f>
        <v/>
      </c>
      <c r="Q136" s="20"/>
    </row>
    <row r="137" customFormat="false" ht="15" hidden="false" customHeight="false" outlineLevel="0" collapsed="false">
      <c r="O137" s="20"/>
      <c r="P137" s="20" t="str">
        <f aca="false">IF(O137="","",O137+10)</f>
        <v/>
      </c>
      <c r="Q137" s="20"/>
    </row>
    <row r="138" customFormat="false" ht="15" hidden="false" customHeight="false" outlineLevel="0" collapsed="false">
      <c r="O138" s="20"/>
      <c r="P138" s="20" t="str">
        <f aca="false">IF(O138="","",O138+10)</f>
        <v/>
      </c>
      <c r="Q138" s="20"/>
    </row>
    <row r="139" customFormat="false" ht="15" hidden="false" customHeight="false" outlineLevel="0" collapsed="false">
      <c r="O139" s="20"/>
      <c r="P139" s="20" t="str">
        <f aca="false">IF(O139="","",O139+10)</f>
        <v/>
      </c>
      <c r="Q139" s="20"/>
    </row>
    <row r="140" customFormat="false" ht="15" hidden="false" customHeight="false" outlineLevel="0" collapsed="false">
      <c r="O140" s="20"/>
      <c r="P140" s="20" t="str">
        <f aca="false">IF(O140="","",O140+10)</f>
        <v/>
      </c>
      <c r="Q140" s="20"/>
    </row>
    <row r="141" customFormat="false" ht="15" hidden="false" customHeight="false" outlineLevel="0" collapsed="false">
      <c r="O141" s="20"/>
      <c r="P141" s="20" t="str">
        <f aca="false">IF(O141="","",O141+10)</f>
        <v/>
      </c>
      <c r="Q141" s="20"/>
    </row>
    <row r="142" customFormat="false" ht="15" hidden="false" customHeight="false" outlineLevel="0" collapsed="false">
      <c r="O142" s="20"/>
      <c r="P142" s="20" t="str">
        <f aca="false">IF(O142="","",O142+10)</f>
        <v/>
      </c>
      <c r="Q142" s="20"/>
    </row>
    <row r="143" customFormat="false" ht="15" hidden="false" customHeight="false" outlineLevel="0" collapsed="false">
      <c r="O143" s="20"/>
      <c r="P143" s="20" t="str">
        <f aca="false">IF(O143="","",O143+10)</f>
        <v/>
      </c>
      <c r="Q143" s="20"/>
    </row>
    <row r="144" customFormat="false" ht="15" hidden="false" customHeight="false" outlineLevel="0" collapsed="false">
      <c r="O144" s="20"/>
      <c r="P144" s="20" t="str">
        <f aca="false">IF(O144="","",O144+10)</f>
        <v/>
      </c>
      <c r="Q144" s="20"/>
    </row>
    <row r="145" customFormat="false" ht="15" hidden="false" customHeight="false" outlineLevel="0" collapsed="false">
      <c r="O145" s="20"/>
      <c r="P145" s="20" t="str">
        <f aca="false">IF(O145="","",O145+10)</f>
        <v/>
      </c>
      <c r="Q145" s="20"/>
    </row>
    <row r="146" customFormat="false" ht="15" hidden="false" customHeight="false" outlineLevel="0" collapsed="false">
      <c r="O146" s="20"/>
      <c r="P146" s="20" t="str">
        <f aca="false">IF(O146="","",O146+10)</f>
        <v/>
      </c>
      <c r="Q146" s="20"/>
    </row>
    <row r="147" customFormat="false" ht="15" hidden="false" customHeight="false" outlineLevel="0" collapsed="false">
      <c r="O147" s="20"/>
      <c r="P147" s="20" t="str">
        <f aca="false">IF(O147="","",O147+10)</f>
        <v/>
      </c>
      <c r="Q147" s="20"/>
    </row>
    <row r="148" customFormat="false" ht="15" hidden="false" customHeight="false" outlineLevel="0" collapsed="false">
      <c r="O148" s="20"/>
      <c r="P148" s="20" t="str">
        <f aca="false">IF(O148="","",O148+10)</f>
        <v/>
      </c>
      <c r="Q148" s="20"/>
    </row>
    <row r="149" customFormat="false" ht="15" hidden="false" customHeight="false" outlineLevel="0" collapsed="false">
      <c r="O149" s="20"/>
      <c r="P149" s="20" t="str">
        <f aca="false">IF(O149="","",O149+10)</f>
        <v/>
      </c>
      <c r="Q149" s="20"/>
    </row>
    <row r="150" customFormat="false" ht="15" hidden="false" customHeight="false" outlineLevel="0" collapsed="false">
      <c r="O150" s="20"/>
      <c r="P150" s="20" t="str">
        <f aca="false">IF(O150="","",O150+10)</f>
        <v/>
      </c>
      <c r="Q150" s="20"/>
    </row>
    <row r="151" customFormat="false" ht="15" hidden="false" customHeight="false" outlineLevel="0" collapsed="false">
      <c r="O151" s="20"/>
      <c r="P151" s="20" t="str">
        <f aca="false">IF(O151="","",O151+10)</f>
        <v/>
      </c>
      <c r="Q151" s="20"/>
    </row>
    <row r="152" customFormat="false" ht="15" hidden="false" customHeight="false" outlineLevel="0" collapsed="false">
      <c r="O152" s="20"/>
      <c r="P152" s="20" t="str">
        <f aca="false">IF(O152="","",O152+10)</f>
        <v/>
      </c>
      <c r="Q152" s="20"/>
    </row>
    <row r="153" customFormat="false" ht="15" hidden="false" customHeight="false" outlineLevel="0" collapsed="false">
      <c r="O153" s="20"/>
      <c r="P153" s="20" t="str">
        <f aca="false">IF(O153="","",O153+10)</f>
        <v/>
      </c>
      <c r="Q153" s="20"/>
    </row>
    <row r="154" customFormat="false" ht="15" hidden="false" customHeight="false" outlineLevel="0" collapsed="false">
      <c r="O154" s="20"/>
      <c r="P154" s="20" t="str">
        <f aca="false">IF(O154="","",O154+10)</f>
        <v/>
      </c>
      <c r="Q154" s="20"/>
    </row>
    <row r="155" customFormat="false" ht="15" hidden="false" customHeight="false" outlineLevel="0" collapsed="false">
      <c r="O155" s="20"/>
      <c r="P155" s="20" t="str">
        <f aca="false">IF(O155="","",O155+10)</f>
        <v/>
      </c>
      <c r="Q155" s="20"/>
    </row>
    <row r="156" customFormat="false" ht="15" hidden="false" customHeight="false" outlineLevel="0" collapsed="false">
      <c r="O156" s="20"/>
      <c r="P156" s="20" t="str">
        <f aca="false">IF(O156="","",O156+10)</f>
        <v/>
      </c>
      <c r="Q156" s="20"/>
    </row>
    <row r="157" customFormat="false" ht="15" hidden="false" customHeight="false" outlineLevel="0" collapsed="false">
      <c r="O157" s="20"/>
      <c r="P157" s="20" t="str">
        <f aca="false">IF(O157="","",O157+10)</f>
        <v/>
      </c>
      <c r="Q157" s="20"/>
    </row>
    <row r="158" customFormat="false" ht="15" hidden="false" customHeight="false" outlineLevel="0" collapsed="false">
      <c r="O158" s="20"/>
      <c r="P158" s="20" t="str">
        <f aca="false">IF(O158="","",O158+10)</f>
        <v/>
      </c>
      <c r="Q158" s="20"/>
    </row>
    <row r="159" customFormat="false" ht="15" hidden="false" customHeight="false" outlineLevel="0" collapsed="false">
      <c r="O159" s="20"/>
      <c r="P159" s="20" t="str">
        <f aca="false">IF(O159="","",O159+10)</f>
        <v/>
      </c>
      <c r="Q159" s="20"/>
    </row>
    <row r="160" customFormat="false" ht="15" hidden="false" customHeight="false" outlineLevel="0" collapsed="false">
      <c r="O160" s="20"/>
      <c r="P160" s="20" t="str">
        <f aca="false">IF(O160="","",O160+10)</f>
        <v/>
      </c>
      <c r="Q160" s="20"/>
    </row>
    <row r="161" customFormat="false" ht="15" hidden="false" customHeight="false" outlineLevel="0" collapsed="false">
      <c r="O161" s="20"/>
      <c r="P161" s="20" t="str">
        <f aca="false">IF(O161="","",O161+10)</f>
        <v/>
      </c>
      <c r="Q161" s="20"/>
    </row>
    <row r="162" customFormat="false" ht="15" hidden="false" customHeight="false" outlineLevel="0" collapsed="false">
      <c r="O162" s="20"/>
      <c r="P162" s="20" t="str">
        <f aca="false">IF(O162="","",O162+10)</f>
        <v/>
      </c>
      <c r="Q162" s="20"/>
    </row>
    <row r="163" customFormat="false" ht="15" hidden="false" customHeight="false" outlineLevel="0" collapsed="false">
      <c r="O163" s="20"/>
      <c r="P163" s="20" t="str">
        <f aca="false">IF(O163="","",O163+10)</f>
        <v/>
      </c>
      <c r="Q163" s="20"/>
    </row>
    <row r="164" customFormat="false" ht="15" hidden="false" customHeight="false" outlineLevel="0" collapsed="false">
      <c r="O164" s="20"/>
      <c r="P164" s="20" t="str">
        <f aca="false">IF(O164="","",O164+10)</f>
        <v/>
      </c>
      <c r="Q164" s="20"/>
    </row>
    <row r="165" customFormat="false" ht="15" hidden="false" customHeight="false" outlineLevel="0" collapsed="false">
      <c r="O165" s="20"/>
      <c r="P165" s="20" t="str">
        <f aca="false">IF(O165="","",O165+10)</f>
        <v/>
      </c>
      <c r="Q165" s="20"/>
    </row>
    <row r="166" customFormat="false" ht="15" hidden="false" customHeight="false" outlineLevel="0" collapsed="false">
      <c r="O166" s="20"/>
      <c r="P166" s="20" t="str">
        <f aca="false">IF(O166="","",O166+10)</f>
        <v/>
      </c>
      <c r="Q166" s="20"/>
    </row>
    <row r="167" customFormat="false" ht="15" hidden="false" customHeight="false" outlineLevel="0" collapsed="false">
      <c r="O167" s="20"/>
      <c r="P167" s="20" t="str">
        <f aca="false">IF(O167="","",O167+10)</f>
        <v/>
      </c>
      <c r="Q167" s="20"/>
    </row>
    <row r="168" customFormat="false" ht="15" hidden="false" customHeight="false" outlineLevel="0" collapsed="false">
      <c r="O168" s="20"/>
      <c r="P168" s="20" t="str">
        <f aca="false">IF(O168="","",O168+10)</f>
        <v/>
      </c>
      <c r="Q168" s="20"/>
    </row>
    <row r="169" customFormat="false" ht="15" hidden="false" customHeight="false" outlineLevel="0" collapsed="false">
      <c r="O169" s="20"/>
      <c r="P169" s="20" t="str">
        <f aca="false">IF(O169="","",O169+10)</f>
        <v/>
      </c>
      <c r="Q169" s="20"/>
    </row>
    <row r="170" customFormat="false" ht="15" hidden="false" customHeight="false" outlineLevel="0" collapsed="false">
      <c r="O170" s="20"/>
      <c r="P170" s="20" t="str">
        <f aca="false">IF(O170="","",O170+10)</f>
        <v/>
      </c>
      <c r="Q170" s="20"/>
    </row>
    <row r="171" customFormat="false" ht="15" hidden="false" customHeight="false" outlineLevel="0" collapsed="false">
      <c r="O171" s="20"/>
      <c r="P171" s="20" t="str">
        <f aca="false">IF(O171="","",O171+10)</f>
        <v/>
      </c>
      <c r="Q171" s="20"/>
    </row>
    <row r="172" customFormat="false" ht="15" hidden="false" customHeight="false" outlineLevel="0" collapsed="false">
      <c r="O172" s="20"/>
      <c r="P172" s="20" t="str">
        <f aca="false">IF(O172="","",O172+10)</f>
        <v/>
      </c>
      <c r="Q172" s="20"/>
    </row>
    <row r="173" customFormat="false" ht="15" hidden="false" customHeight="false" outlineLevel="0" collapsed="false">
      <c r="O173" s="20"/>
      <c r="P173" s="20" t="str">
        <f aca="false">IF(O173="","",O173+10)</f>
        <v/>
      </c>
      <c r="Q173" s="20"/>
    </row>
    <row r="174" customFormat="false" ht="15" hidden="false" customHeight="false" outlineLevel="0" collapsed="false">
      <c r="O174" s="20"/>
      <c r="P174" s="20" t="str">
        <f aca="false">IF(O174="","",O174+10)</f>
        <v/>
      </c>
      <c r="Q174" s="20"/>
    </row>
    <row r="175" customFormat="false" ht="15" hidden="false" customHeight="false" outlineLevel="0" collapsed="false">
      <c r="O175" s="20"/>
      <c r="P175" s="20" t="str">
        <f aca="false">IF(O175="","",O175+10)</f>
        <v/>
      </c>
      <c r="Q175" s="20"/>
    </row>
    <row r="176" customFormat="false" ht="15" hidden="false" customHeight="false" outlineLevel="0" collapsed="false">
      <c r="O176" s="20"/>
      <c r="P176" s="20" t="str">
        <f aca="false">IF(O176="","",O176+10)</f>
        <v/>
      </c>
      <c r="Q176" s="20"/>
    </row>
    <row r="177" customFormat="false" ht="15" hidden="false" customHeight="false" outlineLevel="0" collapsed="false">
      <c r="O177" s="20"/>
      <c r="P177" s="20" t="str">
        <f aca="false">IF(O177="","",O177+10)</f>
        <v/>
      </c>
      <c r="Q177" s="20"/>
    </row>
    <row r="178" customFormat="false" ht="15" hidden="false" customHeight="false" outlineLevel="0" collapsed="false">
      <c r="O178" s="20"/>
      <c r="P178" s="20" t="str">
        <f aca="false">IF(O178="","",O178+10)</f>
        <v/>
      </c>
      <c r="Q178" s="20"/>
    </row>
    <row r="179" customFormat="false" ht="15" hidden="false" customHeight="false" outlineLevel="0" collapsed="false">
      <c r="O179" s="20"/>
      <c r="P179" s="20" t="str">
        <f aca="false">IF(O179="","",O179+10)</f>
        <v/>
      </c>
      <c r="Q179" s="20"/>
    </row>
    <row r="180" customFormat="false" ht="15" hidden="false" customHeight="false" outlineLevel="0" collapsed="false">
      <c r="O180" s="20"/>
      <c r="P180" s="20" t="str">
        <f aca="false">IF(O180="","",O180+10)</f>
        <v/>
      </c>
      <c r="Q180" s="20"/>
    </row>
    <row r="181" customFormat="false" ht="15" hidden="false" customHeight="false" outlineLevel="0" collapsed="false">
      <c r="O181" s="20"/>
      <c r="P181" s="20" t="str">
        <f aca="false">IF(O181="","",O181+10)</f>
        <v/>
      </c>
      <c r="Q181" s="20"/>
    </row>
    <row r="182" customFormat="false" ht="15" hidden="false" customHeight="false" outlineLevel="0" collapsed="false">
      <c r="O182" s="20"/>
      <c r="P182" s="20" t="str">
        <f aca="false">IF(O182="","",O182+10)</f>
        <v/>
      </c>
      <c r="Q182" s="20"/>
    </row>
    <row r="183" customFormat="false" ht="15" hidden="false" customHeight="false" outlineLevel="0" collapsed="false">
      <c r="O183" s="20"/>
      <c r="P183" s="20" t="str">
        <f aca="false">IF(O183="","",O183+10)</f>
        <v/>
      </c>
      <c r="Q183" s="20"/>
    </row>
    <row r="184" customFormat="false" ht="15" hidden="false" customHeight="false" outlineLevel="0" collapsed="false">
      <c r="O184" s="20"/>
      <c r="P184" s="20" t="str">
        <f aca="false">IF(O184="","",O184+10)</f>
        <v/>
      </c>
      <c r="Q184" s="20"/>
    </row>
    <row r="185" customFormat="false" ht="15" hidden="false" customHeight="false" outlineLevel="0" collapsed="false">
      <c r="O185" s="20"/>
      <c r="P185" s="20" t="str">
        <f aca="false">IF(O185="","",O185+10)</f>
        <v/>
      </c>
      <c r="Q185" s="20"/>
    </row>
    <row r="186" customFormat="false" ht="15" hidden="false" customHeight="false" outlineLevel="0" collapsed="false">
      <c r="O186" s="20"/>
      <c r="P186" s="20" t="str">
        <f aca="false">IF(O186="","",O186+10)</f>
        <v/>
      </c>
      <c r="Q186" s="20"/>
    </row>
    <row r="187" customFormat="false" ht="15" hidden="false" customHeight="false" outlineLevel="0" collapsed="false">
      <c r="O187" s="20"/>
      <c r="P187" s="20" t="str">
        <f aca="false">IF(O187="","",O187+10)</f>
        <v/>
      </c>
      <c r="Q187" s="20"/>
    </row>
    <row r="188" customFormat="false" ht="15" hidden="false" customHeight="false" outlineLevel="0" collapsed="false">
      <c r="O188" s="20"/>
      <c r="P188" s="20" t="str">
        <f aca="false">IF(O188="","",O188+10)</f>
        <v/>
      </c>
      <c r="Q188" s="20"/>
    </row>
    <row r="189" customFormat="false" ht="15" hidden="false" customHeight="false" outlineLevel="0" collapsed="false">
      <c r="O189" s="20"/>
      <c r="P189" s="20" t="str">
        <f aca="false">IF(O189="","",O189+10)</f>
        <v/>
      </c>
      <c r="Q189" s="20"/>
    </row>
    <row r="190" customFormat="false" ht="15" hidden="false" customHeight="false" outlineLevel="0" collapsed="false">
      <c r="O190" s="20"/>
      <c r="P190" s="20" t="str">
        <f aca="false">IF(O190="","",O190+10)</f>
        <v/>
      </c>
      <c r="Q190" s="20"/>
    </row>
    <row r="191" customFormat="false" ht="15" hidden="false" customHeight="false" outlineLevel="0" collapsed="false">
      <c r="O191" s="20"/>
      <c r="P191" s="20" t="str">
        <f aca="false">IF(O191="","",O191+10)</f>
        <v/>
      </c>
      <c r="Q191" s="20"/>
    </row>
    <row r="192" customFormat="false" ht="15" hidden="false" customHeight="false" outlineLevel="0" collapsed="false">
      <c r="O192" s="20"/>
      <c r="P192" s="20" t="str">
        <f aca="false">IF(O192="","",O192+10)</f>
        <v/>
      </c>
      <c r="Q192" s="20"/>
    </row>
    <row r="193" customFormat="false" ht="15" hidden="false" customHeight="false" outlineLevel="0" collapsed="false">
      <c r="O193" s="20"/>
      <c r="P193" s="20" t="str">
        <f aca="false">IF(O193="","",O193+10)</f>
        <v/>
      </c>
      <c r="Q193" s="20"/>
    </row>
    <row r="194" customFormat="false" ht="15" hidden="false" customHeight="false" outlineLevel="0" collapsed="false">
      <c r="O194" s="20"/>
      <c r="P194" s="20" t="str">
        <f aca="false">IF(O194="","",O194+10)</f>
        <v/>
      </c>
      <c r="Q194" s="20"/>
    </row>
    <row r="195" customFormat="false" ht="15" hidden="false" customHeight="false" outlineLevel="0" collapsed="false">
      <c r="O195" s="20"/>
      <c r="P195" s="20" t="str">
        <f aca="false">IF(O195="","",O195+10)</f>
        <v/>
      </c>
      <c r="Q195" s="20"/>
    </row>
    <row r="196" customFormat="false" ht="15" hidden="false" customHeight="false" outlineLevel="0" collapsed="false">
      <c r="O196" s="20"/>
      <c r="P196" s="20" t="str">
        <f aca="false">IF(O196="","",O196+10)</f>
        <v/>
      </c>
      <c r="Q196" s="20"/>
    </row>
    <row r="197" customFormat="false" ht="15" hidden="false" customHeight="false" outlineLevel="0" collapsed="false">
      <c r="O197" s="20"/>
      <c r="P197" s="20" t="str">
        <f aca="false">IF(O197="","",O197+10)</f>
        <v/>
      </c>
      <c r="Q197" s="20"/>
    </row>
    <row r="198" customFormat="false" ht="15" hidden="false" customHeight="false" outlineLevel="0" collapsed="false">
      <c r="O198" s="20"/>
      <c r="P198" s="20" t="str">
        <f aca="false">IF(O198="","",O198+10)</f>
        <v/>
      </c>
      <c r="Q198" s="20"/>
    </row>
    <row r="199" customFormat="false" ht="15" hidden="false" customHeight="false" outlineLevel="0" collapsed="false">
      <c r="O199" s="20"/>
      <c r="P199" s="20" t="str">
        <f aca="false">IF(O199="","",O199+10)</f>
        <v/>
      </c>
      <c r="Q199" s="20"/>
    </row>
    <row r="200" customFormat="false" ht="15" hidden="false" customHeight="false" outlineLevel="0" collapsed="false">
      <c r="O200" s="20"/>
      <c r="P200" s="20" t="str">
        <f aca="false">IF(O200="","",O200+10)</f>
        <v/>
      </c>
      <c r="Q200" s="20"/>
    </row>
    <row r="201" customFormat="false" ht="15" hidden="false" customHeight="false" outlineLevel="0" collapsed="false">
      <c r="O201" s="20"/>
      <c r="P201" s="20" t="str">
        <f aca="false">IF(O201="","",O201+10)</f>
        <v/>
      </c>
      <c r="Q201" s="20"/>
    </row>
    <row r="202" customFormat="false" ht="15" hidden="false" customHeight="false" outlineLevel="0" collapsed="false">
      <c r="O202" s="20"/>
      <c r="P202" s="20" t="str">
        <f aca="false">IF(O202="","",O202+10)</f>
        <v/>
      </c>
      <c r="Q202" s="20"/>
    </row>
    <row r="203" customFormat="false" ht="15" hidden="false" customHeight="false" outlineLevel="0" collapsed="false">
      <c r="O203" s="20"/>
      <c r="P203" s="20" t="str">
        <f aca="false">IF(O203="","",O203+10)</f>
        <v/>
      </c>
      <c r="Q203" s="20"/>
    </row>
    <row r="204" customFormat="false" ht="15" hidden="false" customHeight="false" outlineLevel="0" collapsed="false">
      <c r="O204" s="20"/>
      <c r="P204" s="20" t="str">
        <f aca="false">IF(O204="","",O204+10)</f>
        <v/>
      </c>
      <c r="Q204" s="20"/>
    </row>
    <row r="205" customFormat="false" ht="15" hidden="false" customHeight="false" outlineLevel="0" collapsed="false">
      <c r="O205" s="20"/>
      <c r="P205" s="20" t="str">
        <f aca="false">IF(O205="","",O205+10)</f>
        <v/>
      </c>
      <c r="Q205" s="20"/>
    </row>
    <row r="206" customFormat="false" ht="15" hidden="false" customHeight="false" outlineLevel="0" collapsed="false">
      <c r="O206" s="20"/>
      <c r="P206" s="20" t="str">
        <f aca="false">IF(O206="","",O206+10)</f>
        <v/>
      </c>
      <c r="Q206" s="20"/>
    </row>
    <row r="207" customFormat="false" ht="15" hidden="false" customHeight="false" outlineLevel="0" collapsed="false">
      <c r="O207" s="20"/>
      <c r="P207" s="20" t="str">
        <f aca="false">IF(O207="","",O207+10)</f>
        <v/>
      </c>
      <c r="Q207" s="20"/>
    </row>
    <row r="208" customFormat="false" ht="15" hidden="false" customHeight="false" outlineLevel="0" collapsed="false">
      <c r="O208" s="20"/>
      <c r="P208" s="20" t="str">
        <f aca="false">IF(O208="","",O208+10)</f>
        <v/>
      </c>
      <c r="Q208" s="20"/>
    </row>
    <row r="209" customFormat="false" ht="15" hidden="false" customHeight="false" outlineLevel="0" collapsed="false">
      <c r="O209" s="20"/>
      <c r="P209" s="20" t="str">
        <f aca="false">IF(O209="","",O209+10)</f>
        <v/>
      </c>
      <c r="Q209" s="20"/>
    </row>
    <row r="210" customFormat="false" ht="15" hidden="false" customHeight="false" outlineLevel="0" collapsed="false">
      <c r="O210" s="20"/>
      <c r="P210" s="20" t="str">
        <f aca="false">IF(O210="","",O210+10)</f>
        <v/>
      </c>
      <c r="Q210" s="20"/>
    </row>
    <row r="211" customFormat="false" ht="15" hidden="false" customHeight="false" outlineLevel="0" collapsed="false">
      <c r="O211" s="20"/>
      <c r="P211" s="20" t="str">
        <f aca="false">IF(O211="","",O211+10)</f>
        <v/>
      </c>
      <c r="Q211" s="20"/>
    </row>
    <row r="212" customFormat="false" ht="15" hidden="false" customHeight="false" outlineLevel="0" collapsed="false">
      <c r="O212" s="20"/>
      <c r="P212" s="20" t="str">
        <f aca="false">IF(O212="","",O212+10)</f>
        <v/>
      </c>
      <c r="Q212" s="20"/>
    </row>
    <row r="213" customFormat="false" ht="15" hidden="false" customHeight="false" outlineLevel="0" collapsed="false">
      <c r="O213" s="20"/>
      <c r="P213" s="20" t="str">
        <f aca="false">IF(O213="","",O213+10)</f>
        <v/>
      </c>
      <c r="Q213" s="20"/>
    </row>
    <row r="214" customFormat="false" ht="15" hidden="false" customHeight="false" outlineLevel="0" collapsed="false">
      <c r="O214" s="20"/>
      <c r="P214" s="20" t="str">
        <f aca="false">IF(O214="","",O214+10)</f>
        <v/>
      </c>
      <c r="Q214" s="20"/>
    </row>
    <row r="215" customFormat="false" ht="15" hidden="false" customHeight="false" outlineLevel="0" collapsed="false">
      <c r="O215" s="20"/>
      <c r="P215" s="20" t="str">
        <f aca="false">IF(O215="","",O215+10)</f>
        <v/>
      </c>
      <c r="Q215" s="20"/>
    </row>
    <row r="216" customFormat="false" ht="15" hidden="false" customHeight="false" outlineLevel="0" collapsed="false">
      <c r="O216" s="20"/>
      <c r="P216" s="20" t="str">
        <f aca="false">IF(O216="","",O216+10)</f>
        <v/>
      </c>
      <c r="Q216" s="20"/>
    </row>
    <row r="217" customFormat="false" ht="15" hidden="false" customHeight="false" outlineLevel="0" collapsed="false">
      <c r="O217" s="20"/>
      <c r="P217" s="20" t="str">
        <f aca="false">IF(O217="","",O217+10)</f>
        <v/>
      </c>
      <c r="Q217" s="20"/>
    </row>
    <row r="218" customFormat="false" ht="15" hidden="false" customHeight="false" outlineLevel="0" collapsed="false">
      <c r="O218" s="20"/>
      <c r="P218" s="20" t="str">
        <f aca="false">IF(O218="","",O218+10)</f>
        <v/>
      </c>
      <c r="Q218" s="20"/>
    </row>
    <row r="219" customFormat="false" ht="15" hidden="false" customHeight="false" outlineLevel="0" collapsed="false">
      <c r="O219" s="20"/>
      <c r="P219" s="20" t="str">
        <f aca="false">IF(O219="","",O219+10)</f>
        <v/>
      </c>
      <c r="Q219" s="20"/>
    </row>
    <row r="220" customFormat="false" ht="15" hidden="false" customHeight="false" outlineLevel="0" collapsed="false">
      <c r="O220" s="20"/>
      <c r="P220" s="20" t="str">
        <f aca="false">IF(O220="","",O220+10)</f>
        <v/>
      </c>
      <c r="Q220" s="20"/>
    </row>
    <row r="221" customFormat="false" ht="15" hidden="false" customHeight="false" outlineLevel="0" collapsed="false">
      <c r="O221" s="20"/>
      <c r="P221" s="20" t="str">
        <f aca="false">IF(O221="","",O221+10)</f>
        <v/>
      </c>
      <c r="Q221" s="20"/>
    </row>
    <row r="222" customFormat="false" ht="15" hidden="false" customHeight="false" outlineLevel="0" collapsed="false">
      <c r="O222" s="20"/>
      <c r="P222" s="20" t="str">
        <f aca="false">IF(O222="","",O222+10)</f>
        <v/>
      </c>
      <c r="Q222" s="20"/>
    </row>
    <row r="223" customFormat="false" ht="15" hidden="false" customHeight="false" outlineLevel="0" collapsed="false">
      <c r="O223" s="20"/>
      <c r="P223" s="20" t="str">
        <f aca="false">IF(O223="","",O223+10)</f>
        <v/>
      </c>
      <c r="Q223" s="20"/>
    </row>
    <row r="224" customFormat="false" ht="15" hidden="false" customHeight="false" outlineLevel="0" collapsed="false">
      <c r="O224" s="20"/>
      <c r="P224" s="20" t="str">
        <f aca="false">IF(O224="","",O224+10)</f>
        <v/>
      </c>
      <c r="Q224" s="20"/>
    </row>
    <row r="225" customFormat="false" ht="15" hidden="false" customHeight="false" outlineLevel="0" collapsed="false">
      <c r="O225" s="20"/>
      <c r="P225" s="20" t="str">
        <f aca="false">IF(O225="","",O225+10)</f>
        <v/>
      </c>
      <c r="Q225" s="20"/>
    </row>
    <row r="226" customFormat="false" ht="15" hidden="false" customHeight="false" outlineLevel="0" collapsed="false">
      <c r="O226" s="20"/>
      <c r="P226" s="20" t="str">
        <f aca="false">IF(O226="","",O226+10)</f>
        <v/>
      </c>
      <c r="Q226" s="20"/>
    </row>
    <row r="227" customFormat="false" ht="15" hidden="false" customHeight="false" outlineLevel="0" collapsed="false">
      <c r="O227" s="20"/>
      <c r="P227" s="20" t="str">
        <f aca="false">IF(O227="","",O227+10)</f>
        <v/>
      </c>
      <c r="Q227" s="20"/>
    </row>
    <row r="228" customFormat="false" ht="15" hidden="false" customHeight="false" outlineLevel="0" collapsed="false">
      <c r="O228" s="20"/>
      <c r="P228" s="20" t="str">
        <f aca="false">IF(O228="","",O228+10)</f>
        <v/>
      </c>
      <c r="Q228" s="20"/>
    </row>
    <row r="229" customFormat="false" ht="15" hidden="false" customHeight="false" outlineLevel="0" collapsed="false">
      <c r="O229" s="20"/>
      <c r="P229" s="20" t="str">
        <f aca="false">IF(O229="","",O229+10)</f>
        <v/>
      </c>
      <c r="Q229" s="20"/>
    </row>
    <row r="230" customFormat="false" ht="15" hidden="false" customHeight="false" outlineLevel="0" collapsed="false">
      <c r="O230" s="20"/>
      <c r="P230" s="20" t="str">
        <f aca="false">IF(O230="","",O230+10)</f>
        <v/>
      </c>
      <c r="Q230" s="20"/>
    </row>
    <row r="231" customFormat="false" ht="15" hidden="false" customHeight="false" outlineLevel="0" collapsed="false">
      <c r="O231" s="20"/>
      <c r="P231" s="20" t="str">
        <f aca="false">IF(O231="","",O231+10)</f>
        <v/>
      </c>
      <c r="Q231" s="20"/>
    </row>
    <row r="232" customFormat="false" ht="15" hidden="false" customHeight="false" outlineLevel="0" collapsed="false">
      <c r="O232" s="20"/>
      <c r="P232" s="20" t="str">
        <f aca="false">IF(O232="","",O232+10)</f>
        <v/>
      </c>
      <c r="Q232" s="20"/>
    </row>
    <row r="233" customFormat="false" ht="15" hidden="false" customHeight="false" outlineLevel="0" collapsed="false">
      <c r="O233" s="20"/>
      <c r="P233" s="20" t="str">
        <f aca="false">IF(O233="","",O233+10)</f>
        <v/>
      </c>
      <c r="Q233" s="20"/>
    </row>
    <row r="234" customFormat="false" ht="15" hidden="false" customHeight="false" outlineLevel="0" collapsed="false">
      <c r="O234" s="20"/>
      <c r="P234" s="20" t="str">
        <f aca="false">IF(O234="","",O234+10)</f>
        <v/>
      </c>
      <c r="Q234" s="20"/>
    </row>
    <row r="235" customFormat="false" ht="15" hidden="false" customHeight="false" outlineLevel="0" collapsed="false">
      <c r="O235" s="20"/>
      <c r="P235" s="20" t="str">
        <f aca="false">IF(O235="","",O235+10)</f>
        <v/>
      </c>
      <c r="Q235" s="20"/>
    </row>
    <row r="236" customFormat="false" ht="15" hidden="false" customHeight="false" outlineLevel="0" collapsed="false">
      <c r="O236" s="20"/>
      <c r="P236" s="20" t="str">
        <f aca="false">IF(O236="","",O236+10)</f>
        <v/>
      </c>
      <c r="Q236" s="20"/>
    </row>
    <row r="237" customFormat="false" ht="15" hidden="false" customHeight="false" outlineLevel="0" collapsed="false">
      <c r="O237" s="20"/>
      <c r="P237" s="20" t="str">
        <f aca="false">IF(O237="","",O237+10)</f>
        <v/>
      </c>
      <c r="Q237" s="20"/>
    </row>
    <row r="238" customFormat="false" ht="15" hidden="false" customHeight="false" outlineLevel="0" collapsed="false">
      <c r="O238" s="20"/>
      <c r="P238" s="20" t="str">
        <f aca="false">IF(O238="","",O238+10)</f>
        <v/>
      </c>
      <c r="Q238" s="20"/>
    </row>
    <row r="239" customFormat="false" ht="15" hidden="false" customHeight="false" outlineLevel="0" collapsed="false">
      <c r="O239" s="20"/>
      <c r="P239" s="20" t="str">
        <f aca="false">IF(O239="","",O239+10)</f>
        <v/>
      </c>
      <c r="Q239" s="20"/>
    </row>
    <row r="240" customFormat="false" ht="15" hidden="false" customHeight="false" outlineLevel="0" collapsed="false">
      <c r="O240" s="20"/>
      <c r="P240" s="20" t="str">
        <f aca="false">IF(O240="","",O240+10)</f>
        <v/>
      </c>
      <c r="Q240" s="20"/>
    </row>
    <row r="241" customFormat="false" ht="15" hidden="false" customHeight="false" outlineLevel="0" collapsed="false">
      <c r="O241" s="20"/>
      <c r="P241" s="20" t="str">
        <f aca="false">IF(O241="","",O241+10)</f>
        <v/>
      </c>
      <c r="Q241" s="20"/>
    </row>
    <row r="242" customFormat="false" ht="15" hidden="false" customHeight="false" outlineLevel="0" collapsed="false">
      <c r="O242" s="20"/>
      <c r="P242" s="20" t="str">
        <f aca="false">IF(O242="","",O242+10)</f>
        <v/>
      </c>
      <c r="Q242" s="20"/>
    </row>
    <row r="243" customFormat="false" ht="15" hidden="false" customHeight="false" outlineLevel="0" collapsed="false">
      <c r="O243" s="20"/>
      <c r="P243" s="20" t="str">
        <f aca="false">IF(O243="","",O243+10)</f>
        <v/>
      </c>
      <c r="Q243" s="20"/>
    </row>
    <row r="244" customFormat="false" ht="15" hidden="false" customHeight="false" outlineLevel="0" collapsed="false">
      <c r="O244" s="20"/>
      <c r="P244" s="20" t="str">
        <f aca="false">IF(O244="","",O244+10)</f>
        <v/>
      </c>
      <c r="Q244" s="20"/>
    </row>
    <row r="245" customFormat="false" ht="15" hidden="false" customHeight="false" outlineLevel="0" collapsed="false">
      <c r="O245" s="20"/>
      <c r="P245" s="20" t="str">
        <f aca="false">IF(O245="","",O245+10)</f>
        <v/>
      </c>
      <c r="Q245" s="20"/>
    </row>
    <row r="246" customFormat="false" ht="15" hidden="false" customHeight="false" outlineLevel="0" collapsed="false">
      <c r="O246" s="20"/>
      <c r="P246" s="20" t="str">
        <f aca="false">IF(O246="","",O246+10)</f>
        <v/>
      </c>
      <c r="Q246" s="20"/>
    </row>
    <row r="247" customFormat="false" ht="15" hidden="false" customHeight="false" outlineLevel="0" collapsed="false">
      <c r="O247" s="20"/>
      <c r="P247" s="20" t="str">
        <f aca="false">IF(O247="","",O247+10)</f>
        <v/>
      </c>
      <c r="Q247" s="20"/>
    </row>
    <row r="248" customFormat="false" ht="15" hidden="false" customHeight="false" outlineLevel="0" collapsed="false">
      <c r="O248" s="20"/>
      <c r="P248" s="20" t="str">
        <f aca="false">IF(O248="","",O248+10)</f>
        <v/>
      </c>
      <c r="Q248" s="20"/>
    </row>
    <row r="249" customFormat="false" ht="15" hidden="false" customHeight="false" outlineLevel="0" collapsed="false">
      <c r="O249" s="20"/>
      <c r="P249" s="20" t="str">
        <f aca="false">IF(O249="","",O249+10)</f>
        <v/>
      </c>
      <c r="Q249" s="20"/>
    </row>
    <row r="250" customFormat="false" ht="15" hidden="false" customHeight="false" outlineLevel="0" collapsed="false">
      <c r="O250" s="20"/>
      <c r="P250" s="20" t="str">
        <f aca="false">IF(O250="","",O250+10)</f>
        <v/>
      </c>
      <c r="Q250" s="20"/>
    </row>
    <row r="251" customFormat="false" ht="15" hidden="false" customHeight="false" outlineLevel="0" collapsed="false">
      <c r="O251" s="20"/>
      <c r="P251" s="20" t="str">
        <f aca="false">IF(O251="","",O251+10)</f>
        <v/>
      </c>
      <c r="Q251" s="20"/>
    </row>
    <row r="252" customFormat="false" ht="15" hidden="false" customHeight="false" outlineLevel="0" collapsed="false">
      <c r="O252" s="20"/>
      <c r="P252" s="20" t="str">
        <f aca="false">IF(O252="","",O252+10)</f>
        <v/>
      </c>
      <c r="Q252" s="20"/>
    </row>
    <row r="253" customFormat="false" ht="15" hidden="false" customHeight="false" outlineLevel="0" collapsed="false">
      <c r="O253" s="20"/>
      <c r="P253" s="20" t="str">
        <f aca="false">IF(O253="","",O253+10)</f>
        <v/>
      </c>
      <c r="Q253" s="20"/>
    </row>
    <row r="254" customFormat="false" ht="15" hidden="false" customHeight="false" outlineLevel="0" collapsed="false">
      <c r="O254" s="20"/>
      <c r="P254" s="20" t="str">
        <f aca="false">IF(O254="","",O254+10)</f>
        <v/>
      </c>
      <c r="Q254" s="20"/>
    </row>
    <row r="255" customFormat="false" ht="15" hidden="false" customHeight="false" outlineLevel="0" collapsed="false">
      <c r="O255" s="20"/>
      <c r="P255" s="20" t="str">
        <f aca="false">IF(O255="","",O255+10)</f>
        <v/>
      </c>
      <c r="Q255" s="20"/>
    </row>
    <row r="256" customFormat="false" ht="15" hidden="false" customHeight="false" outlineLevel="0" collapsed="false">
      <c r="O256" s="20"/>
      <c r="P256" s="20" t="str">
        <f aca="false">IF(O256="","",O256+10)</f>
        <v/>
      </c>
      <c r="Q256" s="20"/>
    </row>
    <row r="257" customFormat="false" ht="15" hidden="false" customHeight="false" outlineLevel="0" collapsed="false">
      <c r="O257" s="20"/>
      <c r="P257" s="20" t="str">
        <f aca="false">IF(O257="","",O257+10)</f>
        <v/>
      </c>
      <c r="Q257" s="20"/>
    </row>
    <row r="258" customFormat="false" ht="15" hidden="false" customHeight="false" outlineLevel="0" collapsed="false">
      <c r="O258" s="20"/>
      <c r="P258" s="20" t="str">
        <f aca="false">IF(O258="","",O258+10)</f>
        <v/>
      </c>
      <c r="Q258" s="20"/>
    </row>
    <row r="259" customFormat="false" ht="15" hidden="false" customHeight="false" outlineLevel="0" collapsed="false">
      <c r="O259" s="20"/>
      <c r="P259" s="20" t="str">
        <f aca="false">IF(O259="","",O259+10)</f>
        <v/>
      </c>
      <c r="Q259" s="20"/>
    </row>
    <row r="260" customFormat="false" ht="15" hidden="false" customHeight="false" outlineLevel="0" collapsed="false">
      <c r="O260" s="20"/>
      <c r="P260" s="20" t="str">
        <f aca="false">IF(O260="","",O260+10)</f>
        <v/>
      </c>
      <c r="Q260" s="20"/>
    </row>
    <row r="261" customFormat="false" ht="15" hidden="false" customHeight="false" outlineLevel="0" collapsed="false">
      <c r="O261" s="20"/>
      <c r="P261" s="20" t="str">
        <f aca="false">IF(O261="","",O261+10)</f>
        <v/>
      </c>
      <c r="Q261" s="20"/>
    </row>
    <row r="262" customFormat="false" ht="15" hidden="false" customHeight="false" outlineLevel="0" collapsed="false">
      <c r="O262" s="20"/>
      <c r="P262" s="20" t="str">
        <f aca="false">IF(O262="","",O262+10)</f>
        <v/>
      </c>
      <c r="Q262" s="20"/>
    </row>
    <row r="263" customFormat="false" ht="15" hidden="false" customHeight="false" outlineLevel="0" collapsed="false">
      <c r="O263" s="20"/>
      <c r="P263" s="20" t="str">
        <f aca="false">IF(O263="","",O263+10)</f>
        <v/>
      </c>
      <c r="Q263" s="20"/>
    </row>
    <row r="264" customFormat="false" ht="15" hidden="false" customHeight="false" outlineLevel="0" collapsed="false">
      <c r="O264" s="20"/>
      <c r="P264" s="20" t="str">
        <f aca="false">IF(O264="","",O264+10)</f>
        <v/>
      </c>
      <c r="Q264" s="20"/>
    </row>
    <row r="265" customFormat="false" ht="15" hidden="false" customHeight="false" outlineLevel="0" collapsed="false">
      <c r="O265" s="20"/>
      <c r="P265" s="20" t="str">
        <f aca="false">IF(O265="","",O265+10)</f>
        <v/>
      </c>
      <c r="Q265" s="20"/>
    </row>
    <row r="266" customFormat="false" ht="15" hidden="false" customHeight="false" outlineLevel="0" collapsed="false">
      <c r="O266" s="20"/>
      <c r="P266" s="20" t="str">
        <f aca="false">IF(O266="","",O266+10)</f>
        <v/>
      </c>
      <c r="Q266" s="20"/>
    </row>
    <row r="267" customFormat="false" ht="15" hidden="false" customHeight="false" outlineLevel="0" collapsed="false">
      <c r="O267" s="20"/>
      <c r="P267" s="20" t="str">
        <f aca="false">IF(O267="","",O267+10)</f>
        <v/>
      </c>
      <c r="Q267" s="20"/>
    </row>
    <row r="268" customFormat="false" ht="15" hidden="false" customHeight="false" outlineLevel="0" collapsed="false">
      <c r="O268" s="20"/>
      <c r="P268" s="20" t="str">
        <f aca="false">IF(O268="","",O268+10)</f>
        <v/>
      </c>
      <c r="Q268" s="20"/>
    </row>
    <row r="269" customFormat="false" ht="15" hidden="false" customHeight="false" outlineLevel="0" collapsed="false">
      <c r="O269" s="20"/>
      <c r="P269" s="20" t="str">
        <f aca="false">IF(O269="","",O269+10)</f>
        <v/>
      </c>
      <c r="Q269" s="20"/>
    </row>
    <row r="270" customFormat="false" ht="15" hidden="false" customHeight="false" outlineLevel="0" collapsed="false">
      <c r="O270" s="20"/>
      <c r="P270" s="20" t="str">
        <f aca="false">IF(O270="","",O270+10)</f>
        <v/>
      </c>
      <c r="Q270" s="20"/>
    </row>
    <row r="271" customFormat="false" ht="15" hidden="false" customHeight="false" outlineLevel="0" collapsed="false">
      <c r="O271" s="20"/>
      <c r="P271" s="20" t="str">
        <f aca="false">IF(O271="","",O271+10)</f>
        <v/>
      </c>
      <c r="Q271" s="20"/>
    </row>
    <row r="272" customFormat="false" ht="15" hidden="false" customHeight="false" outlineLevel="0" collapsed="false">
      <c r="O272" s="20"/>
      <c r="P272" s="20" t="str">
        <f aca="false">IF(O272="","",O272+10)</f>
        <v/>
      </c>
      <c r="Q272" s="20"/>
    </row>
    <row r="273" customFormat="false" ht="15" hidden="false" customHeight="false" outlineLevel="0" collapsed="false">
      <c r="O273" s="20"/>
      <c r="P273" s="20" t="str">
        <f aca="false">IF(O273="","",O273+10)</f>
        <v/>
      </c>
      <c r="Q273" s="20"/>
    </row>
    <row r="274" customFormat="false" ht="15" hidden="false" customHeight="false" outlineLevel="0" collapsed="false">
      <c r="O274" s="20"/>
      <c r="P274" s="20" t="str">
        <f aca="false">IF(O274="","",O274+10)</f>
        <v/>
      </c>
      <c r="Q274" s="20"/>
    </row>
    <row r="275" customFormat="false" ht="15" hidden="false" customHeight="false" outlineLevel="0" collapsed="false">
      <c r="O275" s="20"/>
      <c r="P275" s="20" t="str">
        <f aca="false">IF(O275="","",O275+10)</f>
        <v/>
      </c>
      <c r="Q275" s="20"/>
    </row>
    <row r="276" customFormat="false" ht="15" hidden="false" customHeight="false" outlineLevel="0" collapsed="false">
      <c r="O276" s="20"/>
      <c r="P276" s="20" t="str">
        <f aca="false">IF(O276="","",O276+10)</f>
        <v/>
      </c>
      <c r="Q276" s="20"/>
    </row>
    <row r="277" customFormat="false" ht="15" hidden="false" customHeight="false" outlineLevel="0" collapsed="false">
      <c r="O277" s="20"/>
      <c r="P277" s="20" t="str">
        <f aca="false">IF(O277="","",O277+10)</f>
        <v/>
      </c>
      <c r="Q277" s="20"/>
    </row>
    <row r="278" customFormat="false" ht="15" hidden="false" customHeight="false" outlineLevel="0" collapsed="false">
      <c r="O278" s="20"/>
      <c r="P278" s="20" t="str">
        <f aca="false">IF(O278="","",O278+10)</f>
        <v/>
      </c>
      <c r="Q278" s="20"/>
    </row>
    <row r="279" customFormat="false" ht="15" hidden="false" customHeight="false" outlineLevel="0" collapsed="false">
      <c r="O279" s="20"/>
      <c r="P279" s="20" t="str">
        <f aca="false">IF(O279="","",O279+10)</f>
        <v/>
      </c>
      <c r="Q279" s="20"/>
    </row>
    <row r="280" customFormat="false" ht="15" hidden="false" customHeight="false" outlineLevel="0" collapsed="false">
      <c r="O280" s="20"/>
      <c r="P280" s="20" t="str">
        <f aca="false">IF(O280="","",O280+10)</f>
        <v/>
      </c>
      <c r="Q280" s="20"/>
    </row>
    <row r="281" customFormat="false" ht="15" hidden="false" customHeight="false" outlineLevel="0" collapsed="false">
      <c r="O281" s="20"/>
      <c r="P281" s="20" t="str">
        <f aca="false">IF(O281="","",O281+10)</f>
        <v/>
      </c>
      <c r="Q281" s="20"/>
    </row>
    <row r="282" customFormat="false" ht="15" hidden="false" customHeight="false" outlineLevel="0" collapsed="false">
      <c r="O282" s="20"/>
      <c r="P282" s="20" t="str">
        <f aca="false">IF(O282="","",O282+10)</f>
        <v/>
      </c>
      <c r="Q282" s="20"/>
    </row>
    <row r="283" customFormat="false" ht="15" hidden="false" customHeight="false" outlineLevel="0" collapsed="false">
      <c r="O283" s="20"/>
      <c r="P283" s="20" t="str">
        <f aca="false">IF(O283="","",O283+10)</f>
        <v/>
      </c>
      <c r="Q283" s="20"/>
    </row>
    <row r="284" customFormat="false" ht="15" hidden="false" customHeight="false" outlineLevel="0" collapsed="false">
      <c r="O284" s="20"/>
      <c r="P284" s="20" t="str">
        <f aca="false">IF(O284="","",O284+10)</f>
        <v/>
      </c>
      <c r="Q284" s="20"/>
    </row>
    <row r="285" customFormat="false" ht="15" hidden="false" customHeight="false" outlineLevel="0" collapsed="false">
      <c r="O285" s="20"/>
      <c r="P285" s="20" t="str">
        <f aca="false">IF(O285="","",O285+10)</f>
        <v/>
      </c>
      <c r="Q285" s="20"/>
    </row>
    <row r="286" customFormat="false" ht="15" hidden="false" customHeight="false" outlineLevel="0" collapsed="false">
      <c r="O286" s="20"/>
      <c r="P286" s="20" t="str">
        <f aca="false">IF(O286="","",O286+10)</f>
        <v/>
      </c>
      <c r="Q286" s="20"/>
    </row>
    <row r="287" customFormat="false" ht="15" hidden="false" customHeight="false" outlineLevel="0" collapsed="false">
      <c r="O287" s="20"/>
      <c r="P287" s="20" t="str">
        <f aca="false">IF(O287="","",O287+10)</f>
        <v/>
      </c>
      <c r="Q287" s="20"/>
    </row>
    <row r="288" customFormat="false" ht="15" hidden="false" customHeight="false" outlineLevel="0" collapsed="false">
      <c r="O288" s="20"/>
      <c r="P288" s="20" t="str">
        <f aca="false">IF(O288="","",O288+10)</f>
        <v/>
      </c>
      <c r="Q288" s="20"/>
    </row>
    <row r="289" customFormat="false" ht="15" hidden="false" customHeight="false" outlineLevel="0" collapsed="false">
      <c r="O289" s="20"/>
      <c r="P289" s="20" t="str">
        <f aca="false">IF(O289="","",O289+10)</f>
        <v/>
      </c>
      <c r="Q289" s="20"/>
    </row>
    <row r="290" customFormat="false" ht="15" hidden="false" customHeight="false" outlineLevel="0" collapsed="false">
      <c r="O290" s="20"/>
      <c r="P290" s="20" t="str">
        <f aca="false">IF(O290="","",O290+10)</f>
        <v/>
      </c>
      <c r="Q290" s="20"/>
    </row>
    <row r="291" customFormat="false" ht="15" hidden="false" customHeight="false" outlineLevel="0" collapsed="false">
      <c r="O291" s="20"/>
      <c r="P291" s="20" t="str">
        <f aca="false">IF(O291="","",O291+10)</f>
        <v/>
      </c>
      <c r="Q291" s="20"/>
    </row>
    <row r="292" customFormat="false" ht="15" hidden="false" customHeight="false" outlineLevel="0" collapsed="false">
      <c r="O292" s="20"/>
      <c r="P292" s="20" t="str">
        <f aca="false">IF(O292="","",O292+10)</f>
        <v/>
      </c>
      <c r="Q292" s="20"/>
    </row>
    <row r="293" customFormat="false" ht="15" hidden="false" customHeight="false" outlineLevel="0" collapsed="false">
      <c r="O293" s="20"/>
      <c r="P293" s="20" t="str">
        <f aca="false">IF(O293="","",O293+10)</f>
        <v/>
      </c>
      <c r="Q293" s="20"/>
    </row>
    <row r="294" customFormat="false" ht="15" hidden="false" customHeight="false" outlineLevel="0" collapsed="false">
      <c r="O294" s="20"/>
      <c r="P294" s="20" t="str">
        <f aca="false">IF(O294="","",O294+10)</f>
        <v/>
      </c>
      <c r="Q294" s="20"/>
    </row>
    <row r="295" customFormat="false" ht="15" hidden="false" customHeight="false" outlineLevel="0" collapsed="false">
      <c r="O295" s="20"/>
      <c r="P295" s="20" t="str">
        <f aca="false">IF(O295="","",O295+10)</f>
        <v/>
      </c>
      <c r="Q295" s="20"/>
    </row>
    <row r="296" customFormat="false" ht="15" hidden="false" customHeight="false" outlineLevel="0" collapsed="false">
      <c r="O296" s="20"/>
      <c r="P296" s="20" t="str">
        <f aca="false">IF(O296="","",O296+10)</f>
        <v/>
      </c>
      <c r="Q296" s="20"/>
    </row>
    <row r="297" customFormat="false" ht="15" hidden="false" customHeight="false" outlineLevel="0" collapsed="false">
      <c r="O297" s="20"/>
      <c r="P297" s="20" t="str">
        <f aca="false">IF(O297="","",O297+10)</f>
        <v/>
      </c>
      <c r="Q297" s="20"/>
    </row>
    <row r="298" customFormat="false" ht="15" hidden="false" customHeight="false" outlineLevel="0" collapsed="false">
      <c r="O298" s="20"/>
      <c r="P298" s="20" t="str">
        <f aca="false">IF(O298="","",O298+10)</f>
        <v/>
      </c>
      <c r="Q298" s="20"/>
    </row>
    <row r="299" customFormat="false" ht="15" hidden="false" customHeight="false" outlineLevel="0" collapsed="false">
      <c r="O299" s="20"/>
      <c r="P299" s="20" t="str">
        <f aca="false">IF(O299="","",O299+10)</f>
        <v/>
      </c>
      <c r="Q299" s="20"/>
    </row>
    <row r="300" customFormat="false" ht="15" hidden="false" customHeight="false" outlineLevel="0" collapsed="false">
      <c r="O300" s="20"/>
      <c r="P300" s="20" t="str">
        <f aca="false">IF(O300="","",O300+10)</f>
        <v/>
      </c>
      <c r="Q300" s="20"/>
    </row>
  </sheetData>
  <autoFilter ref="A5:U45"/>
  <mergeCells count="8">
    <mergeCell ref="A1:U1"/>
    <mergeCell ref="A2:U2"/>
    <mergeCell ref="A4:F4"/>
    <mergeCell ref="G4:H4"/>
    <mergeCell ref="I4:M4"/>
    <mergeCell ref="N4:Q4"/>
    <mergeCell ref="R4:S4"/>
    <mergeCell ref="T4:U4"/>
  </mergeCells>
  <conditionalFormatting sqref="N6:N300">
    <cfRule type="cellIs" priority="2" operator="equal" aboveAverage="0" equalAverage="0" bottom="0" percent="0" rank="0" text="" dxfId="25">
      <formula>"Pré-embauche confirmée"</formula>
    </cfRule>
    <cfRule type="cellIs" priority="3" operator="equal" aboveAverage="0" equalAverage="0" bottom="0" percent="0" rank="0" text="" dxfId="26">
      <formula>"Stage obtenu"</formula>
    </cfRule>
    <cfRule type="cellIs" priority="4" operator="equal" aboveAverage="0" equalAverage="0" bottom="0" percent="0" rank="0" text="" dxfId="27">
      <formula>"Entretien prévu"</formula>
    </cfRule>
    <cfRule type="cellIs" priority="5" operator="equal" aboveAverage="0" equalAverage="0" bottom="0" percent="0" rank="0" text="" dxfId="28">
      <formula>"Relance à faire"</formula>
    </cfRule>
    <cfRule type="cellIs" priority="6" operator="equal" aboveAverage="0" equalAverage="0" bottom="0" percent="0" rank="0" text="" dxfId="29">
      <formula>"Candidature envoyée"</formula>
    </cfRule>
    <cfRule type="cellIs" priority="7" operator="equal" aboveAverage="0" equalAverage="0" bottom="0" percent="0" rank="0" text="" dxfId="30">
      <formula>"En attente"</formula>
    </cfRule>
    <cfRule type="cellIs" priority="8" operator="equal" aboveAverage="0" equalAverage="0" bottom="0" percent="0" rank="0" text="" dxfId="31">
      <formula>"Refus"</formula>
    </cfRule>
    <cfRule type="cellIs" priority="9" operator="equal" aboveAverage="0" equalAverage="0" bottom="0" percent="0" rank="0" text="" dxfId="32">
      <formula>"À postuler"</formula>
    </cfRule>
    <cfRule type="cellIs" priority="10" operator="equal" aboveAverage="0" equalAverage="0" bottom="0" percent="0" rank="0" text="" dxfId="33">
      <formula>"À contacter"</formula>
    </cfRule>
    <cfRule type="cellIs" priority="11" operator="equal" aboveAverage="0" equalAverage="0" bottom="0" percent="0" rank="0" text="" dxfId="34">
      <formula>"À vérifier"</formula>
    </cfRule>
  </conditionalFormatting>
  <conditionalFormatting sqref="A6:M300 O6:U300">
    <cfRule type="expression" priority="12" aboveAverage="0" equalAverage="0" bottom="0" percent="0" rank="0" text="" dxfId="35">
      <formula>$N6="Pré-embauche confirmée"</formula>
    </cfRule>
    <cfRule type="expression" priority="13" aboveAverage="0" equalAverage="0" bottom="0" percent="0" rank="0" text="" dxfId="36">
      <formula>$N6="Stage obtenu"</formula>
    </cfRule>
    <cfRule type="expression" priority="14" aboveAverage="0" equalAverage="0" bottom="0" percent="0" rank="0" text="" dxfId="37">
      <formula>$N6="Entretien prévu"</formula>
    </cfRule>
    <cfRule type="expression" priority="15" aboveAverage="0" equalAverage="0" bottom="0" percent="0" rank="0" text="" dxfId="38">
      <formula>$N6="Relance à faire"</formula>
    </cfRule>
    <cfRule type="expression" priority="16" aboveAverage="0" equalAverage="0" bottom="0" percent="0" rank="0" text="" dxfId="39">
      <formula>$N6="Candidature envoyée"</formula>
    </cfRule>
    <cfRule type="expression" priority="17" aboveAverage="0" equalAverage="0" bottom="0" percent="0" rank="0" text="" dxfId="40">
      <formula>$N6="En attente"</formula>
    </cfRule>
    <cfRule type="expression" priority="18" aboveAverage="0" equalAverage="0" bottom="0" percent="0" rank="0" text="" dxfId="41">
      <formula>$N6="Refus"</formula>
    </cfRule>
  </conditionalFormatting>
  <conditionalFormatting sqref="P6:P300">
    <cfRule type="expression" priority="19" aboveAverage="0" equalAverage="0" bottom="0" percent="0" rank="0" text="" dxfId="42">
      <formula>AND(P6&lt;&gt;"",P6&lt;=TODAY(),OR($N6="Candidature envoyée",$N6="En attente"))</formula>
    </cfRule>
  </conditionalFormatting>
  <conditionalFormatting sqref="H6:H300">
    <cfRule type="cellIs" priority="20" operator="equal" aboveAverage="0" equalAverage="0" bottom="0" percent="0" rank="0" text="" dxfId="43">
      <formula>"1 - Haute"</formula>
    </cfRule>
    <cfRule type="cellIs" priority="21" operator="equal" aboveAverage="0" equalAverage="0" bottom="0" percent="0" rank="0" text="" dxfId="44">
      <formula>"2 - Moyenne"</formula>
    </cfRule>
    <cfRule type="cellIs" priority="22" operator="equal" aboveAverage="0" equalAverage="0" bottom="0" percent="0" rank="0" text="" dxfId="45">
      <formula>"3 - Basse"</formula>
    </cfRule>
  </conditionalFormatting>
  <conditionalFormatting sqref="U6:U300">
    <cfRule type="cellIs" priority="23" operator="equal" aboveAverage="0" equalAverage="0" bottom="0" percent="0" rank="0" text="" dxfId="46">
      <formula>"Oui"</formula>
    </cfRule>
  </conditionalFormatting>
  <conditionalFormatting sqref="R6:R300">
    <cfRule type="cellIs" priority="24" operator="equal" aboveAverage="0" equalAverage="0" bottom="0" percent="0" rank="0" text="" dxfId="46">
      <formula>"Oui"</formula>
    </cfRule>
    <cfRule type="cellIs" priority="25" operator="equal" aboveAverage="0" equalAverage="0" bottom="0" percent="0" rank="0" text="" dxfId="47">
      <formula>"Possible"</formula>
    </cfRule>
  </conditionalFormatting>
  <conditionalFormatting sqref="G6:G300">
    <cfRule type="cellIs" priority="26" operator="equal" aboveAverage="0" equalAverage="0" bottom="0" percent="0" rank="0" text="" dxfId="48">
      <formula>"CV A"</formula>
    </cfRule>
    <cfRule type="cellIs" priority="27" operator="equal" aboveAverage="0" equalAverage="0" bottom="0" percent="0" rank="0" text="" dxfId="49">
      <formula>"CV B"</formula>
    </cfRule>
    <cfRule type="cellIs" priority="28" operator="equal" aboveAverage="0" equalAverage="0" bottom="0" percent="0" rank="0" text="" dxfId="50">
      <formula>"CV C"</formula>
    </cfRule>
    <cfRule type="cellIs" priority="29" operator="equal" aboveAverage="0" equalAverage="0" bottom="0" percent="0" rank="0" text="" dxfId="51">
      <formula>"CV D"</formula>
    </cfRule>
  </conditionalFormatting>
  <dataValidations count="6">
    <dataValidation allowBlank="true" errorStyle="stop" operator="between" showDropDown="false" showErrorMessage="false" showInputMessage="false" sqref="N6:N300" type="list">
      <formula1>Listes!$A$1:$A$10</formula1>
      <formula2>0</formula2>
    </dataValidation>
    <dataValidation allowBlank="true" errorStyle="stop" operator="between" showDropDown="false" showErrorMessage="false" showInputMessage="false" sqref="H6:H300" type="list">
      <formula1>Listes!$B$1:$B$3</formula1>
      <formula2>0</formula2>
    </dataValidation>
    <dataValidation allowBlank="true" errorStyle="stop" operator="between" showDropDown="false" showErrorMessage="false" showInputMessage="false" sqref="R6:R300" type="list">
      <formula1>Listes!$C$1:$C$4</formula1>
      <formula2>0</formula2>
    </dataValidation>
    <dataValidation allowBlank="true" errorStyle="stop" operator="between" showDropDown="false" showErrorMessage="false" showInputMessage="false" sqref="G6:G300" type="list">
      <formula1>Listes!$D$1:$D$4</formula1>
      <formula2>0</formula2>
    </dataValidation>
    <dataValidation allowBlank="true" errorStyle="stop" operator="between" showDropDown="false" showErrorMessage="false" showInputMessage="false" sqref="U6:U300" type="list">
      <formula1>Listes!$E$1:$E$2</formula1>
      <formula2>0</formula2>
    </dataValidation>
    <dataValidation allowBlank="true" error="Date jj/mm/aaaa" errorStyle="stop" operator="greaterThan" showDropDown="false" showErrorMessage="false" showInputMessage="false" sqref="O6:Q300" type="date">
      <formula1>44927</formula1>
      <formula2>0</formula2>
    </dataValidation>
  </dataValidations>
  <hyperlinks>
    <hyperlink ref="L6" r:id="rId2" display="Ouvrir ↗"/>
    <hyperlink ref="L7" r:id="rId3" display="Ouvrir ↗"/>
    <hyperlink ref="L8" r:id="rId4" display="Ouvrir ↗"/>
    <hyperlink ref="L9" r:id="rId5" display="Ouvrir ↗"/>
    <hyperlink ref="L10" r:id="rId6" display="Ouvrir ↗"/>
    <hyperlink ref="L11" r:id="rId7" display="Ouvrir ↗"/>
    <hyperlink ref="L12" r:id="rId8" display="Ouvrir ↗"/>
    <hyperlink ref="L13" r:id="rId9" display="Ouvrir ↗"/>
    <hyperlink ref="L14" r:id="rId10" display="Ouvrir ↗"/>
    <hyperlink ref="L15" r:id="rId11" display="Ouvrir ↗"/>
    <hyperlink ref="L16" r:id="rId12" display="Ouvrir ↗"/>
    <hyperlink ref="L17" r:id="rId13" display="Ouvrir ↗"/>
    <hyperlink ref="L18" r:id="rId14" display="Ouvrir ↗"/>
    <hyperlink ref="L19" r:id="rId15" display="Ouvrir ↗"/>
    <hyperlink ref="L20" r:id="rId16" display="Ouvrir ↗"/>
    <hyperlink ref="L21" r:id="rId17" display="Ouvrir ↗"/>
    <hyperlink ref="L22" r:id="rId18" display="Ouvrir ↗"/>
    <hyperlink ref="L23" r:id="rId19" display="Ouvrir ↗"/>
    <hyperlink ref="L24" r:id="rId20" display="Ouvrir ↗"/>
    <hyperlink ref="L25" r:id="rId21" display="Ouvrir ↗"/>
    <hyperlink ref="L26" r:id="rId22" display="Ouvrir ↗"/>
    <hyperlink ref="L27" r:id="rId23" display="Ouvrir ↗"/>
    <hyperlink ref="L28" r:id="rId24" display="Ouvrir ↗"/>
    <hyperlink ref="L29" r:id="rId25" display="Ouvrir ↗"/>
    <hyperlink ref="L30" r:id="rId26" display="Ouvrir ↗"/>
    <hyperlink ref="L31" r:id="rId27" display="Ouvrir ↗"/>
    <hyperlink ref="L32" r:id="rId28" display="Ouvrir ↗"/>
    <hyperlink ref="L33" r:id="rId29" display="Ouvrir ↗"/>
    <hyperlink ref="L34" r:id="rId30" display="Ouvrir ↗"/>
    <hyperlink ref="L35" r:id="rId31" display="Ouvrir ↗"/>
    <hyperlink ref="L36" r:id="rId32" display="Ouvrir ↗"/>
    <hyperlink ref="L37" r:id="rId33" display="Ouvrir ↗"/>
    <hyperlink ref="L38" r:id="rId34" display="Ouvrir ↗"/>
    <hyperlink ref="L39" r:id="rId35" display="Ouvrir ↗"/>
    <hyperlink ref="L40" r:id="rId36" display="Ouvrir ↗"/>
    <hyperlink ref="L41" r:id="rId37" display="Ouvrir ↗"/>
    <hyperlink ref="L42" r:id="rId38" display="Ouvrir ↗"/>
    <hyperlink ref="L43" r:id="rId39" display="Ouvrir ↗"/>
    <hyperlink ref="L44" r:id="rId40" display="Ouvrir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5"/>
    <col collapsed="false" customWidth="true" hidden="false" outlineLevel="0" max="4" min="4" style="0" width="2"/>
    <col collapsed="false" customWidth="true" hidden="false" outlineLevel="0" max="6" min="5" style="0" width="15"/>
    <col collapsed="false" customWidth="true" hidden="false" outlineLevel="0" max="7" min="7" style="0" width="2"/>
    <col collapsed="false" customWidth="true" hidden="false" outlineLevel="0" max="9" min="8" style="0" width="15"/>
    <col collapsed="false" customWidth="true" hidden="false" outlineLevel="0" max="10" min="10" style="0" width="2"/>
    <col collapsed="false" customWidth="true" hidden="false" outlineLevel="0" max="12" min="11" style="0" width="15"/>
    <col collapsed="false" customWidth="true" hidden="true" outlineLevel="0" max="13" min="13" style="0" width="13"/>
  </cols>
  <sheetData>
    <row r="1" customFormat="false" ht="39.75" hidden="false" customHeight="true" outlineLevel="0" collapsed="false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299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21" t="s">
        <v>300</v>
      </c>
      <c r="C4" s="21"/>
      <c r="E4" s="22" t="s">
        <v>301</v>
      </c>
      <c r="F4" s="22"/>
      <c r="H4" s="23" t="s">
        <v>302</v>
      </c>
      <c r="I4" s="23"/>
      <c r="K4" s="24" t="s">
        <v>303</v>
      </c>
      <c r="L4" s="24"/>
    </row>
    <row r="5" customFormat="false" ht="21.75" hidden="false" customHeight="true" outlineLevel="0" collapsed="false">
      <c r="B5" s="25" t="n">
        <f aca="false">SUMPRODUCT(('Suivi des candidatures'!$A$6:$A$300&lt;&gt;"")/COUNTIF('Suivi des candidatures'!$A$6:$A$300,'Suivi des candidatures'!$A$6:$A$300&amp;""))</f>
        <v>37</v>
      </c>
      <c r="C5" s="25"/>
      <c r="E5" s="26" t="n">
        <f aca="false">COUNTIF('Suivi des candidatures'!$U$6:$U$300,"Oui")</f>
        <v>3</v>
      </c>
      <c r="F5" s="26"/>
      <c r="H5" s="27" t="n">
        <f aca="false">COUNTIF('Suivi des candidatures'!$N$6:$N$300,"Candidature envoyée")+COUNTIF('Suivi des candidatures'!$N$6:$N$300,"Relance à faire")+COUNTIF('Suivi des candidatures'!$N$6:$N$300,"Entretien prévu")+COUNTIF('Suivi des candidatures'!$N$6:$N$300,"En attente")+COUNTIF('Suivi des candidatures'!$N$6:$N$300,"Refus")+COUNTIF('Suivi des candidatures'!$N$6:$N$300,"Stage obtenu")+COUNTIF('Suivi des candidatures'!$N$6:$N$300,"Pré-embauche confirmée")</f>
        <v>0</v>
      </c>
      <c r="I5" s="27"/>
      <c r="K5" s="28" t="n">
        <f aca="true">COUNTIF('Suivi des candidatures'!$N$6:$N$300,"Relance à faire")+COUNTIFS('Suivi des candidatures'!$N$6:$N$300,"Candidature envoyée",'Suivi des candidatures'!$P$6:$P$300,"&lt;="&amp;TODAY())+COUNTIFS('Suivi des candidatures'!$N$6:$N$300,"En attente",'Suivi des candidatures'!$P$6:$P$300,"&lt;="&amp;TODAY())</f>
        <v>0</v>
      </c>
      <c r="L5" s="28"/>
    </row>
    <row r="6" customFormat="false" ht="21.75" hidden="false" customHeight="true" outlineLevel="0" collapsed="false">
      <c r="B6" s="25"/>
      <c r="C6" s="25"/>
      <c r="E6" s="26"/>
      <c r="F6" s="26"/>
      <c r="H6" s="27"/>
      <c r="I6" s="27"/>
      <c r="K6" s="28"/>
      <c r="L6" s="28"/>
    </row>
    <row r="8" customFormat="false" ht="21.75" hidden="false" customHeight="true" outlineLevel="0" collapsed="false">
      <c r="B8" s="4" t="s">
        <v>304</v>
      </c>
      <c r="C8" s="4"/>
      <c r="E8" s="29" t="s">
        <v>305</v>
      </c>
      <c r="F8" s="29"/>
      <c r="H8" s="7" t="s">
        <v>306</v>
      </c>
      <c r="I8" s="7"/>
      <c r="K8" s="8" t="s">
        <v>307</v>
      </c>
      <c r="L8" s="8"/>
    </row>
    <row r="9" customFormat="false" ht="21.75" hidden="false" customHeight="true" outlineLevel="0" collapsed="false">
      <c r="B9" s="30" t="n">
        <f aca="false">COUNTIF('Suivi des candidatures'!$N$6:$N$300,"Entretien prévu")</f>
        <v>0</v>
      </c>
      <c r="C9" s="30"/>
      <c r="E9" s="31" t="n">
        <f aca="false">COUNTIF('Suivi des candidatures'!$N$6:$N$300,"Stage obtenu")+COUNTIF('Suivi des candidatures'!$N$6:$N$300,"Pré-embauche confirmée")</f>
        <v>0</v>
      </c>
      <c r="F9" s="31"/>
      <c r="H9" s="32" t="n">
        <f aca="false">COUNTIF('Suivi des candidatures'!$N$6:$N$300,"Pré-embauche confirmée")</f>
        <v>0</v>
      </c>
      <c r="I9" s="32"/>
      <c r="K9" s="33" t="n">
        <f aca="false">IFERROR((COUNTIF('Suivi des candidatures'!$N$6:$N$300,"Entretien prévu")+COUNTIF('Suivi des candidatures'!$N$6:$N$300,"Refus")+COUNTIF('Suivi des candidatures'!$N$6:$N$300,"Stage obtenu")+COUNTIF('Suivi des candidatures'!$N$6:$N$300,"Pré-embauche confirmée"))/H5,0)</f>
        <v>0</v>
      </c>
      <c r="L9" s="33"/>
    </row>
    <row r="10" customFormat="false" ht="21.75" hidden="false" customHeight="true" outlineLevel="0" collapsed="false">
      <c r="B10" s="30"/>
      <c r="C10" s="30"/>
      <c r="E10" s="31"/>
      <c r="F10" s="31"/>
      <c r="H10" s="32"/>
      <c r="I10" s="32"/>
      <c r="K10" s="33"/>
      <c r="L10" s="33"/>
    </row>
    <row r="11" customFormat="false" ht="15" hidden="false" customHeight="false" outlineLevel="0" collapsed="false">
      <c r="B11" s="34" t="s">
        <v>308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3" customFormat="false" ht="15" hidden="false" customHeight="false" outlineLevel="0" collapsed="false">
      <c r="B13" s="35" t="s">
        <v>309</v>
      </c>
      <c r="C13" s="35"/>
      <c r="D13" s="36" t="n">
        <v>25</v>
      </c>
      <c r="E13" s="37" t="n">
        <f aca="false">IFERROR(MIN(H5/D13,1),0)</f>
        <v>0</v>
      </c>
      <c r="F13" s="37"/>
    </row>
    <row r="15" customFormat="false" ht="21.75" hidden="false" customHeight="true" outlineLevel="0" collapsed="false">
      <c r="B15" s="38" t="s">
        <v>310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customFormat="false" ht="53.7" hidden="false" customHeight="true" outlineLevel="0" collapsed="false">
      <c r="B16" s="39" t="s">
        <v>8</v>
      </c>
      <c r="C16" s="39"/>
      <c r="D16" s="39" t="s">
        <v>311</v>
      </c>
      <c r="E16" s="39"/>
      <c r="F16" s="39"/>
      <c r="G16" s="39"/>
      <c r="H16" s="39"/>
      <c r="I16" s="39"/>
      <c r="J16" s="40" t="s">
        <v>312</v>
      </c>
      <c r="K16" s="39" t="s">
        <v>313</v>
      </c>
      <c r="L16" s="39"/>
    </row>
    <row r="17" customFormat="false" ht="21.75" hidden="false" customHeight="true" outlineLevel="0" collapsed="false">
      <c r="B17" s="41" t="s">
        <v>314</v>
      </c>
      <c r="C17" s="41"/>
      <c r="D17" s="16" t="s">
        <v>315</v>
      </c>
      <c r="E17" s="16"/>
      <c r="F17" s="16"/>
      <c r="G17" s="16"/>
      <c r="H17" s="16"/>
      <c r="I17" s="16"/>
      <c r="J17" s="42" t="s">
        <v>316</v>
      </c>
      <c r="K17" s="43" t="str">
        <f aca="false">IFERROR(INDEX('Suivi des candidatures'!$N$6:$N$300,MATCH(M17,'Suivi des candidatures'!$D$6:$D$300,0)),"—")</f>
        <v>À postuler</v>
      </c>
      <c r="L17" s="43"/>
      <c r="M17" s="44" t="s">
        <v>32</v>
      </c>
    </row>
    <row r="18" customFormat="false" ht="21.75" hidden="false" customHeight="true" outlineLevel="0" collapsed="false">
      <c r="B18" s="41" t="s">
        <v>317</v>
      </c>
      <c r="C18" s="41"/>
      <c r="D18" s="16" t="s">
        <v>318</v>
      </c>
      <c r="E18" s="16"/>
      <c r="F18" s="16"/>
      <c r="G18" s="16"/>
      <c r="H18" s="16"/>
      <c r="I18" s="16"/>
      <c r="J18" s="42" t="s">
        <v>316</v>
      </c>
      <c r="K18" s="43" t="str">
        <f aca="false">IFERROR(INDEX('Suivi des candidatures'!$N$6:$N$300,MATCH(M18,'Suivi des candidatures'!$D$6:$D$300,0)),"—")</f>
        <v>À postuler</v>
      </c>
      <c r="L18" s="43"/>
      <c r="M18" s="44" t="s">
        <v>49</v>
      </c>
    </row>
    <row r="19" customFormat="false" ht="21.75" hidden="false" customHeight="true" outlineLevel="0" collapsed="false">
      <c r="B19" s="41" t="s">
        <v>319</v>
      </c>
      <c r="C19" s="41"/>
      <c r="D19" s="16" t="s">
        <v>320</v>
      </c>
      <c r="E19" s="16"/>
      <c r="F19" s="16"/>
      <c r="G19" s="16"/>
      <c r="H19" s="16"/>
      <c r="I19" s="16"/>
      <c r="J19" s="42" t="s">
        <v>316</v>
      </c>
      <c r="K19" s="43" t="str">
        <f aca="false">IFERROR(INDEX('Suivi des candidatures'!$N$6:$N$300,MATCH(M19,'Suivi des candidatures'!$D$6:$D$300,0)),"—")</f>
        <v>À postuler</v>
      </c>
      <c r="L19" s="43"/>
      <c r="M19" s="44" t="s">
        <v>59</v>
      </c>
    </row>
    <row r="20" customFormat="false" ht="21.75" hidden="false" customHeight="true" outlineLevel="0" collapsed="false">
      <c r="B20" s="41" t="s">
        <v>321</v>
      </c>
      <c r="C20" s="41"/>
      <c r="D20" s="16" t="s">
        <v>322</v>
      </c>
      <c r="E20" s="16"/>
      <c r="F20" s="16"/>
      <c r="G20" s="16"/>
      <c r="H20" s="16"/>
      <c r="I20" s="16"/>
      <c r="J20" s="42" t="s">
        <v>316</v>
      </c>
      <c r="K20" s="43" t="str">
        <f aca="false">IFERROR(INDEX('Suivi des candidatures'!$N$6:$N$300,MATCH(M20,'Suivi des candidatures'!$D$6:$D$300,0)),"—")</f>
        <v>À contacter</v>
      </c>
      <c r="L20" s="43"/>
      <c r="M20" s="44" t="s">
        <v>91</v>
      </c>
    </row>
    <row r="21" customFormat="false" ht="21.75" hidden="false" customHeight="true" outlineLevel="0" collapsed="false">
      <c r="B21" s="41" t="s">
        <v>323</v>
      </c>
      <c r="C21" s="41"/>
      <c r="D21" s="16" t="s">
        <v>324</v>
      </c>
      <c r="E21" s="16"/>
      <c r="F21" s="16"/>
      <c r="G21" s="16"/>
      <c r="H21" s="16"/>
      <c r="I21" s="16"/>
      <c r="J21" s="43" t="s">
        <v>325</v>
      </c>
      <c r="K21" s="43" t="str">
        <f aca="false">IFERROR(INDEX('Suivi des candidatures'!$N$6:$N$300,MATCH(M21,'Suivi des candidatures'!$D$6:$D$300,0)),"—")</f>
        <v>À vérifier</v>
      </c>
      <c r="L21" s="43"/>
      <c r="M21" s="44" t="s">
        <v>68</v>
      </c>
    </row>
    <row r="22" customFormat="false" ht="21.75" hidden="false" customHeight="true" outlineLevel="0" collapsed="false">
      <c r="B22" s="41" t="s">
        <v>326</v>
      </c>
      <c r="C22" s="41"/>
      <c r="D22" s="16" t="s">
        <v>327</v>
      </c>
      <c r="E22" s="16"/>
      <c r="F22" s="16"/>
      <c r="G22" s="16"/>
      <c r="H22" s="16"/>
      <c r="I22" s="16"/>
      <c r="J22" s="43" t="s">
        <v>325</v>
      </c>
      <c r="K22" s="43" t="str">
        <f aca="false">IFERROR(INDEX('Suivi des candidatures'!$N$6:$N$300,MATCH(M22,'Suivi des candidatures'!$D$6:$D$300,0)),"—")</f>
        <v>À vérifier</v>
      </c>
      <c r="L22" s="43"/>
      <c r="M22" s="44" t="s">
        <v>83</v>
      </c>
    </row>
    <row r="23" customFormat="false" ht="21.75" hidden="false" customHeight="true" outlineLevel="0" collapsed="false">
      <c r="B23" s="41" t="s">
        <v>328</v>
      </c>
      <c r="C23" s="41"/>
      <c r="D23" s="16" t="s">
        <v>329</v>
      </c>
      <c r="E23" s="16"/>
      <c r="F23" s="16"/>
      <c r="G23" s="16"/>
      <c r="H23" s="16"/>
      <c r="I23" s="16"/>
      <c r="J23" s="43" t="s">
        <v>325</v>
      </c>
      <c r="K23" s="43" t="str">
        <f aca="false">IFERROR(INDEX('Suivi des candidatures'!$N$6:$N$300,MATCH(M23,'Suivi des candidatures'!$D$6:$D$300,0)),"—")</f>
        <v>À vérifier</v>
      </c>
      <c r="L23" s="43"/>
      <c r="M23" s="44" t="s">
        <v>147</v>
      </c>
    </row>
    <row r="24" customFormat="false" ht="21.75" hidden="false" customHeight="true" outlineLevel="0" collapsed="false">
      <c r="B24" s="41" t="s">
        <v>330</v>
      </c>
      <c r="C24" s="41"/>
      <c r="D24" s="16" t="s">
        <v>331</v>
      </c>
      <c r="E24" s="16"/>
      <c r="F24" s="16"/>
      <c r="G24" s="16"/>
      <c r="H24" s="16"/>
      <c r="I24" s="16"/>
      <c r="J24" s="43" t="s">
        <v>332</v>
      </c>
      <c r="K24" s="43" t="str">
        <f aca="false">IFERROR(INDEX('Suivi des candidatures'!$N$6:$N$300,MATCH(M24,'Suivi des candidatures'!$D$6:$D$300,0)),"—")</f>
        <v>À postuler</v>
      </c>
      <c r="L24" s="43"/>
      <c r="M24" s="44" t="s">
        <v>127</v>
      </c>
    </row>
    <row r="25" customFormat="false" ht="21.75" hidden="false" customHeight="true" outlineLevel="0" collapsed="false">
      <c r="B25" s="41" t="s">
        <v>333</v>
      </c>
      <c r="C25" s="41"/>
      <c r="D25" s="16" t="s">
        <v>334</v>
      </c>
      <c r="E25" s="16"/>
      <c r="F25" s="16"/>
      <c r="G25" s="16"/>
      <c r="H25" s="16"/>
      <c r="I25" s="16"/>
      <c r="J25" s="43" t="s">
        <v>332</v>
      </c>
      <c r="K25" s="43" t="str">
        <f aca="false">IFERROR(INDEX('Suivi des candidatures'!$N$6:$N$300,MATCH(M25,'Suivi des candidatures'!$D$6:$D$300,0)),"—")</f>
        <v>À contacter</v>
      </c>
      <c r="L25" s="43"/>
      <c r="M25" s="44" t="s">
        <v>140</v>
      </c>
    </row>
    <row r="26" customFormat="false" ht="21.75" hidden="false" customHeight="true" outlineLevel="0" collapsed="false">
      <c r="B26" s="41" t="s">
        <v>335</v>
      </c>
      <c r="C26" s="41"/>
      <c r="D26" s="16" t="s">
        <v>336</v>
      </c>
      <c r="E26" s="16"/>
      <c r="F26" s="16"/>
      <c r="G26" s="16"/>
      <c r="H26" s="16"/>
      <c r="I26" s="16"/>
      <c r="J26" s="43" t="s">
        <v>337</v>
      </c>
      <c r="K26" s="43" t="str">
        <f aca="false">IFERROR(INDEX('Suivi des candidatures'!$N$6:$N$300,MATCH(M26,'Suivi des candidatures'!$D$6:$D$300,0)),"—")</f>
        <v>À vérifier</v>
      </c>
      <c r="L26" s="43"/>
      <c r="M26" s="44" t="s">
        <v>119</v>
      </c>
    </row>
    <row r="29" customFormat="false" ht="85.05" hidden="false" customHeight="false" outlineLevel="0" collapsed="false">
      <c r="B29" s="45" t="s">
        <v>21</v>
      </c>
      <c r="C29" s="45" t="s">
        <v>338</v>
      </c>
      <c r="H29" s="45" t="s">
        <v>339</v>
      </c>
      <c r="I29" s="45" t="s">
        <v>340</v>
      </c>
      <c r="J29" s="45" t="s">
        <v>341</v>
      </c>
    </row>
    <row r="30" customFormat="false" ht="15" hidden="false" customHeight="false" outlineLevel="0" collapsed="false">
      <c r="B30" s="46" t="s">
        <v>72</v>
      </c>
      <c r="C30" s="43" t="n">
        <f aca="false">COUNTIF('Suivi des candidatures'!$N$6:$N$300,B30)</f>
        <v>33</v>
      </c>
      <c r="H30" s="41" t="s">
        <v>52</v>
      </c>
      <c r="I30" s="47" t="n">
        <f aca="false">COUNTIF('Suivi des candidatures'!$G$6:$G$300,H30)</f>
        <v>8</v>
      </c>
      <c r="J30" s="47" t="n">
        <f aca="false">COUNTIFS('Suivi des candidatures'!$G$6:$G$300,H30,'Suivi des candidatures'!$N$6:$N$300,"Candidature envoyée")+COUNTIFS('Suivi des candidatures'!$G$6:$G$300,H30,'Suivi des candidatures'!$N$6:$N$300,"Relance à faire")+COUNTIFS('Suivi des candidatures'!$G$6:$G$300,H30,'Suivi des candidatures'!$N$6:$N$300,"Entretien prévu")+COUNTIFS('Suivi des candidatures'!$G$6:$G$300,H30,'Suivi des candidatures'!$N$6:$N$300,"En attente")+COUNTIFS('Suivi des candidatures'!$G$6:$G$300,H30,'Suivi des candidatures'!$N$6:$N$300,"Refus")+COUNTIFS('Suivi des candidatures'!$G$6:$G$300,H30,'Suivi des candidatures'!$N$6:$N$300,"Stage obtenu")+COUNTIFS('Suivi des candidatures'!$G$6:$G$300,H30,'Suivi des candidatures'!$N$6:$N$300,"Pré-embauche confirmée")</f>
        <v>0</v>
      </c>
    </row>
    <row r="31" customFormat="false" ht="15" hidden="false" customHeight="false" outlineLevel="0" collapsed="false">
      <c r="B31" s="46" t="s">
        <v>95</v>
      </c>
      <c r="C31" s="43" t="n">
        <f aca="false">COUNTIF('Suivi des candidatures'!$N$6:$N$300,B31)</f>
        <v>3</v>
      </c>
      <c r="H31" s="41" t="s">
        <v>103</v>
      </c>
      <c r="I31" s="47" t="n">
        <f aca="false">COUNTIF('Suivi des candidatures'!$G$6:$G$300,H31)</f>
        <v>11</v>
      </c>
      <c r="J31" s="47" t="n">
        <f aca="false">COUNTIFS('Suivi des candidatures'!$G$6:$G$300,H31,'Suivi des candidatures'!$N$6:$N$300,"Candidature envoyée")+COUNTIFS('Suivi des candidatures'!$G$6:$G$300,H31,'Suivi des candidatures'!$N$6:$N$300,"Relance à faire")+COUNTIFS('Suivi des candidatures'!$G$6:$G$300,H31,'Suivi des candidatures'!$N$6:$N$300,"Entretien prévu")+COUNTIFS('Suivi des candidatures'!$G$6:$G$300,H31,'Suivi des candidatures'!$N$6:$N$300,"En attente")+COUNTIFS('Suivi des candidatures'!$G$6:$G$300,H31,'Suivi des candidatures'!$N$6:$N$300,"Refus")+COUNTIFS('Suivi des candidatures'!$G$6:$G$300,H31,'Suivi des candidatures'!$N$6:$N$300,"Stage obtenu")+COUNTIFS('Suivi des candidatures'!$G$6:$G$300,H31,'Suivi des candidatures'!$N$6:$N$300,"Pré-embauche confirmée")</f>
        <v>0</v>
      </c>
    </row>
    <row r="32" customFormat="false" ht="15" hidden="false" customHeight="false" outlineLevel="0" collapsed="false">
      <c r="B32" s="46" t="s">
        <v>41</v>
      </c>
      <c r="C32" s="43" t="n">
        <f aca="false">COUNTIF('Suivi des candidatures'!$N$6:$N$300,B32)</f>
        <v>4</v>
      </c>
      <c r="H32" s="41" t="s">
        <v>35</v>
      </c>
      <c r="I32" s="47" t="n">
        <f aca="false">COUNTIF('Suivi des candidatures'!$G$6:$G$300,H32)</f>
        <v>13</v>
      </c>
      <c r="J32" s="47" t="n">
        <f aca="false">COUNTIFS('Suivi des candidatures'!$G$6:$G$300,H32,'Suivi des candidatures'!$N$6:$N$300,"Candidature envoyée")+COUNTIFS('Suivi des candidatures'!$G$6:$G$300,H32,'Suivi des candidatures'!$N$6:$N$300,"Relance à faire")+COUNTIFS('Suivi des candidatures'!$G$6:$G$300,H32,'Suivi des candidatures'!$N$6:$N$300,"Entretien prévu")+COUNTIFS('Suivi des candidatures'!$G$6:$G$300,H32,'Suivi des candidatures'!$N$6:$N$300,"En attente")+COUNTIFS('Suivi des candidatures'!$G$6:$G$300,H32,'Suivi des candidatures'!$N$6:$N$300,"Refus")+COUNTIFS('Suivi des candidatures'!$G$6:$G$300,H32,'Suivi des candidatures'!$N$6:$N$300,"Stage obtenu")+COUNTIFS('Suivi des candidatures'!$G$6:$G$300,H32,'Suivi des candidatures'!$N$6:$N$300,"Pré-embauche confirmée")</f>
        <v>0</v>
      </c>
    </row>
    <row r="33" customFormat="false" ht="15" hidden="false" customHeight="false" outlineLevel="0" collapsed="false">
      <c r="B33" s="46" t="s">
        <v>342</v>
      </c>
      <c r="C33" s="43" t="n">
        <f aca="false">COUNTIF('Suivi des candidatures'!$N$6:$N$300,B33)</f>
        <v>0</v>
      </c>
      <c r="H33" s="41" t="s">
        <v>62</v>
      </c>
      <c r="I33" s="47" t="n">
        <f aca="false">COUNTIF('Suivi des candidatures'!$G$6:$G$300,H33)</f>
        <v>8</v>
      </c>
      <c r="J33" s="47" t="n">
        <f aca="false">COUNTIFS('Suivi des candidatures'!$G$6:$G$300,H33,'Suivi des candidatures'!$N$6:$N$300,"Candidature envoyée")+COUNTIFS('Suivi des candidatures'!$G$6:$G$300,H33,'Suivi des candidatures'!$N$6:$N$300,"Relance à faire")+COUNTIFS('Suivi des candidatures'!$G$6:$G$300,H33,'Suivi des candidatures'!$N$6:$N$300,"Entretien prévu")+COUNTIFS('Suivi des candidatures'!$G$6:$G$300,H33,'Suivi des candidatures'!$N$6:$N$300,"En attente")+COUNTIFS('Suivi des candidatures'!$G$6:$G$300,H33,'Suivi des candidatures'!$N$6:$N$300,"Refus")+COUNTIFS('Suivi des candidatures'!$G$6:$G$300,H33,'Suivi des candidatures'!$N$6:$N$300,"Stage obtenu")+COUNTIFS('Suivi des candidatures'!$G$6:$G$300,H33,'Suivi des candidatures'!$N$6:$N$300,"Pré-embauche confirmée")</f>
        <v>0</v>
      </c>
    </row>
    <row r="34" customFormat="false" ht="15" hidden="false" customHeight="false" outlineLevel="0" collapsed="false">
      <c r="B34" s="46" t="s">
        <v>343</v>
      </c>
      <c r="C34" s="43" t="n">
        <f aca="false">COUNTIF('Suivi des candidatures'!$N$6:$N$300,B34)</f>
        <v>0</v>
      </c>
    </row>
    <row r="35" customFormat="false" ht="15" hidden="false" customHeight="false" outlineLevel="0" collapsed="false">
      <c r="B35" s="46" t="s">
        <v>344</v>
      </c>
      <c r="C35" s="43" t="n">
        <f aca="false">COUNTIF('Suivi des candidatures'!$N$6:$N$300,B35)</f>
        <v>0</v>
      </c>
    </row>
    <row r="36" customFormat="false" ht="15" hidden="false" customHeight="false" outlineLevel="0" collapsed="false">
      <c r="B36" s="46" t="s">
        <v>345</v>
      </c>
      <c r="C36" s="43" t="n">
        <f aca="false">COUNTIF('Suivi des candidatures'!$N$6:$N$300,B36)</f>
        <v>0</v>
      </c>
    </row>
    <row r="37" customFormat="false" ht="15" hidden="false" customHeight="false" outlineLevel="0" collapsed="false">
      <c r="B37" s="46" t="s">
        <v>346</v>
      </c>
      <c r="C37" s="43" t="n">
        <f aca="false">COUNTIF('Suivi des candidatures'!$N$6:$N$300,B37)</f>
        <v>0</v>
      </c>
    </row>
    <row r="38" customFormat="false" ht="15" hidden="false" customHeight="false" outlineLevel="0" collapsed="false">
      <c r="B38" s="46" t="s">
        <v>347</v>
      </c>
      <c r="C38" s="43" t="n">
        <f aca="false">COUNTIF('Suivi des candidatures'!$N$6:$N$300,B38)</f>
        <v>0</v>
      </c>
    </row>
    <row r="39" customFormat="false" ht="15" hidden="false" customHeight="false" outlineLevel="0" collapsed="false">
      <c r="B39" s="46" t="s">
        <v>348</v>
      </c>
      <c r="C39" s="43" t="n">
        <f aca="false">COUNTIF('Suivi des candidatures'!$N$6:$N$300,B39)</f>
        <v>0</v>
      </c>
    </row>
  </sheetData>
  <mergeCells count="55">
    <mergeCell ref="A1:L1"/>
    <mergeCell ref="A2:L2"/>
    <mergeCell ref="B4:C4"/>
    <mergeCell ref="E4:F4"/>
    <mergeCell ref="H4:I4"/>
    <mergeCell ref="K4:L4"/>
    <mergeCell ref="B5:C6"/>
    <mergeCell ref="E5:F6"/>
    <mergeCell ref="H5:I6"/>
    <mergeCell ref="K5:L6"/>
    <mergeCell ref="B8:C8"/>
    <mergeCell ref="E8:F8"/>
    <mergeCell ref="H8:I8"/>
    <mergeCell ref="K8:L8"/>
    <mergeCell ref="B9:C10"/>
    <mergeCell ref="E9:F10"/>
    <mergeCell ref="H9:I10"/>
    <mergeCell ref="K9:L10"/>
    <mergeCell ref="B11:L11"/>
    <mergeCell ref="B13:C13"/>
    <mergeCell ref="E13:F13"/>
    <mergeCell ref="B15:L15"/>
    <mergeCell ref="B16:C16"/>
    <mergeCell ref="D16:I16"/>
    <mergeCell ref="K16:L16"/>
    <mergeCell ref="B17:C17"/>
    <mergeCell ref="D17:I17"/>
    <mergeCell ref="K17:L17"/>
    <mergeCell ref="B18:C18"/>
    <mergeCell ref="D18:I18"/>
    <mergeCell ref="K18:L18"/>
    <mergeCell ref="B19:C19"/>
    <mergeCell ref="D19:I19"/>
    <mergeCell ref="K19:L19"/>
    <mergeCell ref="B20:C20"/>
    <mergeCell ref="D20:I20"/>
    <mergeCell ref="K20:L20"/>
    <mergeCell ref="B21:C21"/>
    <mergeCell ref="D21:I21"/>
    <mergeCell ref="K21:L21"/>
    <mergeCell ref="B22:C22"/>
    <mergeCell ref="D22:I22"/>
    <mergeCell ref="K22:L22"/>
    <mergeCell ref="B23:C23"/>
    <mergeCell ref="D23:I23"/>
    <mergeCell ref="K23:L23"/>
    <mergeCell ref="B24:C24"/>
    <mergeCell ref="D24:I24"/>
    <mergeCell ref="K24:L24"/>
    <mergeCell ref="B25:C25"/>
    <mergeCell ref="D25:I25"/>
    <mergeCell ref="K25:L25"/>
    <mergeCell ref="B26:C26"/>
    <mergeCell ref="D26:I26"/>
    <mergeCell ref="K26:L26"/>
  </mergeCells>
  <conditionalFormatting sqref="E13">
    <cfRule type="dataBar" priority="2">
      <dataBar showValue="1" minLength="10" maxLength="90">
        <cfvo type="num" val="0"/>
        <cfvo type="num" val="1"/>
        <color rgb="FF2563EB"/>
      </dataBar>
      <extLst>
        <ext xmlns:x14="http://schemas.microsoft.com/office/spreadsheetml/2009/9/main" uri="{B025F937-C7B1-47D3-B67F-A62EFF666E3E}">
          <x14:id>{FCE435F9-407E-4B3D-9455-F072FB91E573}</x14:id>
        </ext>
      </extLst>
    </cfRule>
  </conditionalFormatting>
  <conditionalFormatting sqref="K17:K26">
    <cfRule type="cellIs" priority="3" operator="equal" aboveAverage="0" equalAverage="0" bottom="0" percent="0" rank="0" text="" dxfId="25">
      <formula>"Pré-embauche confirmée"</formula>
    </cfRule>
    <cfRule type="cellIs" priority="4" operator="equal" aboveAverage="0" equalAverage="0" bottom="0" percent="0" rank="0" text="" dxfId="26">
      <formula>"Stage obtenu"</formula>
    </cfRule>
    <cfRule type="cellIs" priority="5" operator="equal" aboveAverage="0" equalAverage="0" bottom="0" percent="0" rank="0" text="" dxfId="27">
      <formula>"Entretien prévu"</formula>
    </cfRule>
    <cfRule type="cellIs" priority="6" operator="equal" aboveAverage="0" equalAverage="0" bottom="0" percent="0" rank="0" text="" dxfId="28">
      <formula>"Relance à faire"</formula>
    </cfRule>
    <cfRule type="cellIs" priority="7" operator="equal" aboveAverage="0" equalAverage="0" bottom="0" percent="0" rank="0" text="" dxfId="29">
      <formula>"Candidature envoyée"</formula>
    </cfRule>
    <cfRule type="cellIs" priority="8" operator="equal" aboveAverage="0" equalAverage="0" bottom="0" percent="0" rank="0" text="" dxfId="30">
      <formula>"En attente"</formula>
    </cfRule>
    <cfRule type="cellIs" priority="9" operator="equal" aboveAverage="0" equalAverage="0" bottom="0" percent="0" rank="0" text="" dxfId="31">
      <formula>"Refus"</formula>
    </cfRule>
    <cfRule type="cellIs" priority="10" operator="equal" aboveAverage="0" equalAverage="0" bottom="0" percent="0" rank="0" text="" dxfId="32">
      <formula>"À postuler"</formula>
    </cfRule>
    <cfRule type="cellIs" priority="11" operator="equal" aboveAverage="0" equalAverage="0" bottom="0" percent="0" rank="0" text="" dxfId="33">
      <formula>"À contacter"</formula>
    </cfRule>
    <cfRule type="cellIs" priority="12" operator="equal" aboveAverage="0" equalAverage="0" bottom="0" percent="0" rank="0" text="" dxfId="34">
      <formula>"À vérifier"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435F9-407E-4B3D-9455-F072FB91E57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563EB"/>
              <x14:axisColor rgb="FF000000"/>
            </x14:dataBar>
          </x14:cfRule>
          <xm:sqref>E13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42"/>
  </cols>
  <sheetData>
    <row r="1" customFormat="false" ht="39.75" hidden="false" customHeight="true" outlineLevel="0" collapsed="false">
      <c r="A1" s="1" t="s">
        <v>349</v>
      </c>
      <c r="B1" s="1"/>
      <c r="C1" s="1"/>
      <c r="D1" s="1"/>
      <c r="E1" s="1"/>
    </row>
    <row r="2" customFormat="false" ht="24" hidden="false" customHeight="true" outlineLevel="0" collapsed="false">
      <c r="A2" s="2" t="s">
        <v>350</v>
      </c>
      <c r="B2" s="2"/>
      <c r="C2" s="2"/>
      <c r="D2" s="2"/>
      <c r="E2" s="2"/>
    </row>
    <row r="4" customFormat="false" ht="37.5" hidden="false" customHeight="true" outlineLevel="0" collapsed="false">
      <c r="A4" s="48"/>
      <c r="B4" s="49" t="s">
        <v>351</v>
      </c>
      <c r="C4" s="50" t="s">
        <v>352</v>
      </c>
      <c r="D4" s="51" t="s">
        <v>353</v>
      </c>
      <c r="E4" s="52" t="s">
        <v>354</v>
      </c>
    </row>
    <row r="5" customFormat="false" ht="30" hidden="false" customHeight="true" outlineLevel="0" collapsed="false">
      <c r="A5" s="53" t="s">
        <v>355</v>
      </c>
      <c r="B5" s="54" t="s">
        <v>356</v>
      </c>
      <c r="C5" s="54" t="s">
        <v>357</v>
      </c>
      <c r="D5" s="54" t="s">
        <v>358</v>
      </c>
      <c r="E5" s="54" t="s">
        <v>359</v>
      </c>
    </row>
    <row r="6" customFormat="false" ht="61.5" hidden="false" customHeight="true" outlineLevel="0" collapsed="false">
      <c r="A6" s="53" t="s">
        <v>360</v>
      </c>
      <c r="B6" s="54" t="s">
        <v>361</v>
      </c>
      <c r="C6" s="54" t="s">
        <v>362</v>
      </c>
      <c r="D6" s="54" t="s">
        <v>363</v>
      </c>
      <c r="E6" s="54" t="s">
        <v>364</v>
      </c>
    </row>
    <row r="7" customFormat="false" ht="75.75" hidden="false" customHeight="true" outlineLevel="0" collapsed="false">
      <c r="A7" s="53" t="s">
        <v>365</v>
      </c>
      <c r="B7" s="54" t="s">
        <v>366</v>
      </c>
      <c r="C7" s="54" t="s">
        <v>367</v>
      </c>
      <c r="D7" s="54" t="s">
        <v>368</v>
      </c>
      <c r="E7" s="54" t="s">
        <v>369</v>
      </c>
    </row>
    <row r="8" customFormat="false" ht="51.75" hidden="false" customHeight="true" outlineLevel="0" collapsed="false">
      <c r="A8" s="53" t="s">
        <v>370</v>
      </c>
      <c r="B8" s="54" t="s">
        <v>371</v>
      </c>
      <c r="C8" s="54" t="s">
        <v>372</v>
      </c>
      <c r="D8" s="54" t="s">
        <v>373</v>
      </c>
      <c r="E8" s="54" t="s">
        <v>374</v>
      </c>
    </row>
    <row r="9" customFormat="false" ht="39.75" hidden="false" customHeight="true" outlineLevel="0" collapsed="false">
      <c r="A9" s="53" t="s">
        <v>375</v>
      </c>
      <c r="B9" s="54" t="s">
        <v>376</v>
      </c>
      <c r="C9" s="54" t="s">
        <v>377</v>
      </c>
      <c r="D9" s="54" t="s">
        <v>378</v>
      </c>
      <c r="E9" s="54" t="s">
        <v>379</v>
      </c>
    </row>
    <row r="10" customFormat="false" ht="36" hidden="false" customHeight="true" outlineLevel="0" collapsed="false">
      <c r="A10" s="53" t="s">
        <v>380</v>
      </c>
      <c r="B10" s="54" t="s">
        <v>381</v>
      </c>
      <c r="C10" s="54" t="s">
        <v>382</v>
      </c>
      <c r="D10" s="54" t="s">
        <v>383</v>
      </c>
      <c r="E10" s="54" t="s">
        <v>384</v>
      </c>
    </row>
    <row r="12" customFormat="false" ht="15" hidden="false" customHeight="false" outlineLevel="0" collapsed="false">
      <c r="A12" s="55" t="s">
        <v>385</v>
      </c>
    </row>
    <row r="13" customFormat="false" ht="15" hidden="false" customHeight="false" outlineLevel="0" collapsed="false">
      <c r="A13" s="56" t="s">
        <v>386</v>
      </c>
      <c r="B13" s="56"/>
      <c r="C13" s="56"/>
      <c r="D13" s="56"/>
      <c r="E13" s="56"/>
    </row>
    <row r="14" customFormat="false" ht="15" hidden="false" customHeight="false" outlineLevel="0" collapsed="false">
      <c r="A14" s="56" t="s">
        <v>387</v>
      </c>
      <c r="B14" s="56"/>
      <c r="C14" s="56"/>
      <c r="D14" s="56"/>
      <c r="E14" s="56"/>
    </row>
    <row r="15" customFormat="false" ht="15" hidden="false" customHeight="false" outlineLevel="0" collapsed="false">
      <c r="A15" s="56" t="s">
        <v>388</v>
      </c>
      <c r="B15" s="56"/>
      <c r="C15" s="56"/>
      <c r="D15" s="56"/>
      <c r="E15" s="56"/>
    </row>
    <row r="16" customFormat="false" ht="15" hidden="false" customHeight="false" outlineLevel="0" collapsed="false">
      <c r="A16" s="56" t="s">
        <v>389</v>
      </c>
      <c r="B16" s="56"/>
      <c r="C16" s="56"/>
      <c r="D16" s="56"/>
      <c r="E16" s="56"/>
    </row>
  </sheetData>
  <mergeCells count="6">
    <mergeCell ref="A1:E1"/>
    <mergeCell ref="A2:E2"/>
    <mergeCell ref="A13:E13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26"/>
  </cols>
  <sheetData>
    <row r="1" customFormat="false" ht="39.75" hidden="false" customHeight="true" outlineLevel="0" collapsed="false">
      <c r="A1" s="1" t="s">
        <v>390</v>
      </c>
      <c r="B1" s="1"/>
      <c r="C1" s="1"/>
      <c r="D1" s="1"/>
      <c r="E1" s="1"/>
    </row>
    <row r="2" customFormat="false" ht="24" hidden="false" customHeight="true" outlineLevel="0" collapsed="false">
      <c r="A2" s="2" t="s">
        <v>391</v>
      </c>
      <c r="B2" s="2"/>
      <c r="C2" s="2"/>
      <c r="D2" s="2"/>
      <c r="E2" s="2"/>
    </row>
    <row r="4" customFormat="false" ht="19.5" hidden="false" customHeight="true" outlineLevel="0" collapsed="false">
      <c r="A4" s="57" t="s">
        <v>392</v>
      </c>
      <c r="B4" s="57"/>
      <c r="C4" s="57"/>
      <c r="D4" s="57"/>
      <c r="E4" s="57"/>
    </row>
    <row r="5" customFormat="false" ht="15" hidden="false" customHeight="false" outlineLevel="0" collapsed="false">
      <c r="A5" s="40" t="s">
        <v>8</v>
      </c>
      <c r="B5" s="40" t="s">
        <v>393</v>
      </c>
      <c r="C5" s="40" t="s">
        <v>394</v>
      </c>
      <c r="D5" s="40" t="s">
        <v>395</v>
      </c>
      <c r="E5" s="40" t="s">
        <v>20</v>
      </c>
    </row>
    <row r="6" customFormat="false" ht="19.5" hidden="false" customHeight="true" outlineLevel="0" collapsed="false">
      <c r="A6" s="58" t="s">
        <v>138</v>
      </c>
      <c r="B6" s="16" t="s">
        <v>396</v>
      </c>
      <c r="C6" s="16" t="s">
        <v>397</v>
      </c>
      <c r="D6" s="16" t="s">
        <v>398</v>
      </c>
      <c r="E6" s="16" t="s">
        <v>399</v>
      </c>
    </row>
    <row r="7" customFormat="false" ht="19.5" hidden="false" customHeight="true" outlineLevel="0" collapsed="false">
      <c r="A7" s="58" t="s">
        <v>230</v>
      </c>
      <c r="B7" s="16" t="s">
        <v>396</v>
      </c>
      <c r="C7" s="16" t="s">
        <v>400</v>
      </c>
      <c r="D7" s="16" t="s">
        <v>398</v>
      </c>
      <c r="E7" s="16" t="s">
        <v>401</v>
      </c>
    </row>
    <row r="8" customFormat="false" ht="19.5" hidden="false" customHeight="true" outlineLevel="0" collapsed="false">
      <c r="A8" s="58" t="s">
        <v>222</v>
      </c>
      <c r="B8" s="16" t="s">
        <v>396</v>
      </c>
      <c r="C8" s="16" t="s">
        <v>402</v>
      </c>
      <c r="D8" s="16" t="s">
        <v>398</v>
      </c>
      <c r="E8" s="16" t="s">
        <v>403</v>
      </c>
    </row>
    <row r="9" customFormat="false" ht="19.5" hidden="false" customHeight="true" outlineLevel="0" collapsed="false">
      <c r="A9" s="58" t="s">
        <v>138</v>
      </c>
      <c r="B9" s="16" t="s">
        <v>404</v>
      </c>
      <c r="C9" s="16" t="s">
        <v>405</v>
      </c>
      <c r="D9" s="16" t="s">
        <v>406</v>
      </c>
      <c r="E9" s="16" t="s">
        <v>407</v>
      </c>
    </row>
    <row r="11" customFormat="false" ht="19.5" hidden="false" customHeight="true" outlineLevel="0" collapsed="false">
      <c r="A11" s="59" t="s">
        <v>408</v>
      </c>
      <c r="B11" s="59"/>
      <c r="C11" s="59"/>
      <c r="D11" s="59"/>
      <c r="E11" s="59"/>
    </row>
    <row r="12" customFormat="false" ht="15" hidden="false" customHeight="false" outlineLevel="0" collapsed="false">
      <c r="A12" s="40" t="s">
        <v>8</v>
      </c>
      <c r="B12" s="40" t="s">
        <v>393</v>
      </c>
      <c r="C12" s="40" t="s">
        <v>409</v>
      </c>
      <c r="D12" s="40" t="s">
        <v>410</v>
      </c>
      <c r="E12" s="40" t="s">
        <v>395</v>
      </c>
    </row>
    <row r="13" customFormat="false" ht="19.5" hidden="false" customHeight="true" outlineLevel="0" collapsed="false">
      <c r="A13" s="58" t="s">
        <v>29</v>
      </c>
      <c r="B13" s="16" t="s">
        <v>411</v>
      </c>
      <c r="C13" s="16" t="s">
        <v>412</v>
      </c>
      <c r="D13" s="18" t="s">
        <v>39</v>
      </c>
      <c r="E13" s="16" t="s">
        <v>413</v>
      </c>
    </row>
    <row r="14" customFormat="false" ht="19.5" hidden="false" customHeight="true" outlineLevel="0" collapsed="false">
      <c r="A14" s="58" t="s">
        <v>66</v>
      </c>
      <c r="B14" s="16" t="s">
        <v>414</v>
      </c>
      <c r="C14" s="16" t="s">
        <v>415</v>
      </c>
      <c r="D14" s="18" t="s">
        <v>39</v>
      </c>
      <c r="E14" s="16" t="s">
        <v>413</v>
      </c>
    </row>
    <row r="15" customFormat="false" ht="19.5" hidden="false" customHeight="true" outlineLevel="0" collapsed="false">
      <c r="A15" s="58" t="s">
        <v>108</v>
      </c>
      <c r="B15" s="16" t="s">
        <v>414</v>
      </c>
      <c r="C15" s="16" t="s">
        <v>416</v>
      </c>
      <c r="D15" s="18" t="s">
        <v>39</v>
      </c>
      <c r="E15" s="16" t="s">
        <v>413</v>
      </c>
    </row>
    <row r="16" customFormat="false" ht="19.5" hidden="false" customHeight="true" outlineLevel="0" collapsed="false">
      <c r="A16" s="58" t="s">
        <v>81</v>
      </c>
      <c r="B16" s="16" t="s">
        <v>417</v>
      </c>
      <c r="C16" s="16" t="s">
        <v>418</v>
      </c>
      <c r="D16" s="18" t="s">
        <v>39</v>
      </c>
      <c r="E16" s="16" t="s">
        <v>413</v>
      </c>
    </row>
    <row r="17" customFormat="false" ht="19.5" hidden="false" customHeight="true" outlineLevel="0" collapsed="false">
      <c r="A17" s="58" t="s">
        <v>419</v>
      </c>
      <c r="B17" s="16" t="s">
        <v>420</v>
      </c>
      <c r="C17" s="16" t="s">
        <v>421</v>
      </c>
      <c r="D17" s="18" t="s">
        <v>39</v>
      </c>
      <c r="E17" s="16" t="s">
        <v>422</v>
      </c>
    </row>
    <row r="18" customFormat="false" ht="19.5" hidden="false" customHeight="true" outlineLevel="0" collapsed="false">
      <c r="A18" s="58" t="s">
        <v>423</v>
      </c>
      <c r="B18" s="16" t="s">
        <v>424</v>
      </c>
      <c r="C18" s="16"/>
      <c r="D18" s="18" t="s">
        <v>39</v>
      </c>
      <c r="E18" s="16" t="s">
        <v>72</v>
      </c>
    </row>
    <row r="19" customFormat="false" ht="19.5" hidden="false" customHeight="true" outlineLevel="0" collapsed="false">
      <c r="A19" s="58" t="s">
        <v>116</v>
      </c>
      <c r="B19" s="16" t="s">
        <v>425</v>
      </c>
      <c r="C19" s="16" t="s">
        <v>426</v>
      </c>
      <c r="D19" s="18" t="s">
        <v>39</v>
      </c>
      <c r="E19" s="16" t="s">
        <v>72</v>
      </c>
    </row>
    <row r="20" customFormat="false" ht="19.5" hidden="false" customHeight="true" outlineLevel="0" collapsed="false">
      <c r="A20" s="58" t="s">
        <v>175</v>
      </c>
      <c r="B20" s="16" t="s">
        <v>425</v>
      </c>
      <c r="C20" s="16" t="s">
        <v>424</v>
      </c>
      <c r="D20" s="18" t="s">
        <v>39</v>
      </c>
      <c r="E20" s="16" t="s">
        <v>72</v>
      </c>
    </row>
    <row r="21" customFormat="false" ht="19.5" hidden="false" customHeight="true" outlineLevel="0" collapsed="false">
      <c r="A21" s="58" t="s">
        <v>125</v>
      </c>
      <c r="B21" s="16" t="s">
        <v>425</v>
      </c>
      <c r="C21" s="16" t="s">
        <v>424</v>
      </c>
      <c r="D21" s="18" t="s">
        <v>39</v>
      </c>
      <c r="E21" s="16" t="s">
        <v>72</v>
      </c>
    </row>
    <row r="22" customFormat="false" ht="19.5" hidden="false" customHeight="true" outlineLevel="0" collapsed="false">
      <c r="A22" s="58" t="s">
        <v>132</v>
      </c>
      <c r="B22" s="16" t="s">
        <v>425</v>
      </c>
      <c r="C22" s="16" t="s">
        <v>424</v>
      </c>
      <c r="D22" s="18" t="s">
        <v>39</v>
      </c>
      <c r="E22" s="16" t="s">
        <v>72</v>
      </c>
    </row>
    <row r="23" customFormat="false" ht="19.5" hidden="false" customHeight="true" outlineLevel="0" collapsed="false">
      <c r="A23" s="58" t="s">
        <v>204</v>
      </c>
      <c r="B23" s="16" t="s">
        <v>425</v>
      </c>
      <c r="C23" s="16" t="s">
        <v>424</v>
      </c>
      <c r="D23" s="18" t="s">
        <v>39</v>
      </c>
      <c r="E23" s="16" t="s">
        <v>72</v>
      </c>
    </row>
    <row r="24" customFormat="false" ht="19.5" hidden="false" customHeight="true" outlineLevel="0" collapsed="false">
      <c r="A24" s="58" t="s">
        <v>216</v>
      </c>
      <c r="B24" s="16" t="s">
        <v>425</v>
      </c>
      <c r="C24" s="16" t="s">
        <v>424</v>
      </c>
      <c r="D24" s="18" t="s">
        <v>39</v>
      </c>
      <c r="E24" s="16" t="s">
        <v>72</v>
      </c>
    </row>
    <row r="25" customFormat="false" ht="19.5" hidden="false" customHeight="true" outlineLevel="0" collapsed="false">
      <c r="A25" s="58" t="s">
        <v>427</v>
      </c>
      <c r="B25" s="16" t="s">
        <v>425</v>
      </c>
      <c r="C25" s="16" t="s">
        <v>424</v>
      </c>
      <c r="D25" s="18" t="s">
        <v>39</v>
      </c>
      <c r="E25" s="16" t="s">
        <v>72</v>
      </c>
    </row>
    <row r="26" customFormat="false" ht="19.5" hidden="false" customHeight="true" outlineLevel="0" collapsed="false">
      <c r="A26" s="58" t="s">
        <v>237</v>
      </c>
      <c r="B26" s="16" t="s">
        <v>425</v>
      </c>
      <c r="C26" s="16" t="s">
        <v>424</v>
      </c>
      <c r="D26" s="18" t="s">
        <v>39</v>
      </c>
      <c r="E26" s="16" t="s">
        <v>72</v>
      </c>
    </row>
    <row r="27" customFormat="false" ht="19.5" hidden="false" customHeight="true" outlineLevel="0" collapsed="false">
      <c r="A27" s="58" t="s">
        <v>57</v>
      </c>
      <c r="B27" s="16" t="s">
        <v>425</v>
      </c>
      <c r="C27" s="16" t="s">
        <v>428</v>
      </c>
      <c r="D27" s="18" t="s">
        <v>39</v>
      </c>
      <c r="E27" s="16" t="s">
        <v>72</v>
      </c>
    </row>
    <row r="29" customFormat="false" ht="19.5" hidden="false" customHeight="true" outlineLevel="0" collapsed="false">
      <c r="A29" s="60" t="s">
        <v>429</v>
      </c>
      <c r="B29" s="60"/>
      <c r="C29" s="60"/>
      <c r="D29" s="60"/>
      <c r="E29" s="60"/>
    </row>
    <row r="30" customFormat="false" ht="15" hidden="false" customHeight="false" outlineLevel="0" collapsed="false">
      <c r="A30" s="40" t="s">
        <v>422</v>
      </c>
      <c r="B30" s="40" t="s">
        <v>393</v>
      </c>
      <c r="C30" s="40" t="s">
        <v>430</v>
      </c>
      <c r="D30" s="40" t="s">
        <v>410</v>
      </c>
      <c r="E30" s="40"/>
    </row>
    <row r="31" customFormat="false" ht="19.5" hidden="false" customHeight="true" outlineLevel="0" collapsed="false">
      <c r="A31" s="58" t="s">
        <v>431</v>
      </c>
      <c r="B31" s="16" t="s">
        <v>432</v>
      </c>
      <c r="C31" s="16" t="s">
        <v>433</v>
      </c>
      <c r="D31" s="18" t="s">
        <v>39</v>
      </c>
      <c r="E31" s="16"/>
    </row>
    <row r="32" customFormat="false" ht="19.5" hidden="false" customHeight="true" outlineLevel="0" collapsed="false">
      <c r="A32" s="58" t="s">
        <v>434</v>
      </c>
      <c r="B32" s="16" t="s">
        <v>432</v>
      </c>
      <c r="C32" s="16" t="s">
        <v>435</v>
      </c>
      <c r="D32" s="18" t="s">
        <v>39</v>
      </c>
      <c r="E32" s="16"/>
    </row>
    <row r="33" customFormat="false" ht="19.5" hidden="false" customHeight="true" outlineLevel="0" collapsed="false">
      <c r="A33" s="58" t="s">
        <v>436</v>
      </c>
      <c r="B33" s="16" t="s">
        <v>437</v>
      </c>
      <c r="C33" s="16" t="s">
        <v>438</v>
      </c>
      <c r="D33" s="18" t="s">
        <v>39</v>
      </c>
      <c r="E33" s="16"/>
    </row>
    <row r="34" customFormat="false" ht="19.5" hidden="false" customHeight="true" outlineLevel="0" collapsed="false">
      <c r="A34" s="58" t="s">
        <v>439</v>
      </c>
      <c r="B34" s="16" t="s">
        <v>440</v>
      </c>
      <c r="C34" s="16" t="s">
        <v>441</v>
      </c>
      <c r="D34" s="18" t="s">
        <v>39</v>
      </c>
      <c r="E34" s="16"/>
    </row>
    <row r="35" customFormat="false" ht="19.5" hidden="false" customHeight="true" outlineLevel="0" collapsed="false">
      <c r="A35" s="58" t="s">
        <v>442</v>
      </c>
      <c r="B35" s="16" t="s">
        <v>443</v>
      </c>
      <c r="C35" s="16" t="s">
        <v>444</v>
      </c>
      <c r="D35" s="18" t="s">
        <v>39</v>
      </c>
      <c r="E35" s="16"/>
    </row>
    <row r="36" customFormat="false" ht="19.5" hidden="false" customHeight="true" outlineLevel="0" collapsed="false">
      <c r="A36" s="58" t="s">
        <v>445</v>
      </c>
      <c r="B36" s="16" t="s">
        <v>443</v>
      </c>
      <c r="C36" s="16" t="s">
        <v>446</v>
      </c>
      <c r="D36" s="18" t="s">
        <v>39</v>
      </c>
      <c r="E36" s="16"/>
    </row>
    <row r="37" customFormat="false" ht="19.5" hidden="false" customHeight="true" outlineLevel="0" collapsed="false">
      <c r="A37" s="58" t="s">
        <v>447</v>
      </c>
      <c r="B37" s="16" t="s">
        <v>448</v>
      </c>
      <c r="C37" s="16" t="s">
        <v>449</v>
      </c>
      <c r="D37" s="18" t="s">
        <v>39</v>
      </c>
      <c r="E37" s="16"/>
    </row>
    <row r="38" customFormat="false" ht="19.5" hidden="false" customHeight="true" outlineLevel="0" collapsed="false">
      <c r="A38" s="58" t="s">
        <v>165</v>
      </c>
      <c r="B38" s="16" t="s">
        <v>432</v>
      </c>
      <c r="C38" s="16" t="s">
        <v>450</v>
      </c>
      <c r="D38" s="18" t="s">
        <v>39</v>
      </c>
      <c r="E38" s="16"/>
    </row>
    <row r="40" customFormat="false" ht="19.5" hidden="false" customHeight="true" outlineLevel="0" collapsed="false">
      <c r="A40" s="61" t="s">
        <v>451</v>
      </c>
      <c r="B40" s="61"/>
      <c r="C40" s="61"/>
      <c r="D40" s="61"/>
      <c r="E40" s="61"/>
    </row>
    <row r="41" customFormat="false" ht="15" hidden="false" customHeight="false" outlineLevel="0" collapsed="false">
      <c r="A41" s="40" t="s">
        <v>452</v>
      </c>
      <c r="B41" s="40" t="s">
        <v>437</v>
      </c>
      <c r="C41" s="40" t="s">
        <v>404</v>
      </c>
      <c r="D41" s="40"/>
      <c r="E41" s="40"/>
    </row>
    <row r="42" customFormat="false" ht="19.5" hidden="false" customHeight="true" outlineLevel="0" collapsed="false">
      <c r="A42" s="58" t="s">
        <v>453</v>
      </c>
      <c r="B42" s="16" t="s">
        <v>237</v>
      </c>
      <c r="C42" s="16" t="s">
        <v>454</v>
      </c>
      <c r="D42" s="16"/>
      <c r="E42" s="16"/>
    </row>
    <row r="43" customFormat="false" ht="19.5" hidden="false" customHeight="true" outlineLevel="0" collapsed="false">
      <c r="A43" s="58" t="s">
        <v>455</v>
      </c>
      <c r="B43" s="16" t="s">
        <v>456</v>
      </c>
      <c r="C43" s="16" t="s">
        <v>457</v>
      </c>
      <c r="D43" s="16"/>
      <c r="E43" s="16"/>
    </row>
    <row r="44" customFormat="false" ht="19.5" hidden="false" customHeight="true" outlineLevel="0" collapsed="false">
      <c r="A44" s="58" t="s">
        <v>458</v>
      </c>
      <c r="B44" s="16" t="s">
        <v>129</v>
      </c>
      <c r="C44" s="16" t="s">
        <v>459</v>
      </c>
      <c r="D44" s="16"/>
      <c r="E44" s="16"/>
    </row>
    <row r="45" customFormat="false" ht="19.5" hidden="false" customHeight="true" outlineLevel="0" collapsed="false">
      <c r="A45" s="58" t="s">
        <v>460</v>
      </c>
      <c r="B45" s="16" t="s">
        <v>209</v>
      </c>
      <c r="C45" s="16" t="s">
        <v>461</v>
      </c>
      <c r="D45" s="16"/>
      <c r="E45" s="16"/>
    </row>
    <row r="46" customFormat="false" ht="19.5" hidden="false" customHeight="true" outlineLevel="0" collapsed="false">
      <c r="A46" s="58" t="s">
        <v>462</v>
      </c>
      <c r="B46" s="16" t="s">
        <v>463</v>
      </c>
      <c r="C46" s="16" t="s">
        <v>464</v>
      </c>
      <c r="D46" s="16"/>
      <c r="E46" s="16"/>
    </row>
  </sheetData>
  <mergeCells count="6">
    <mergeCell ref="A1:E1"/>
    <mergeCell ref="A2:E2"/>
    <mergeCell ref="A4:E4"/>
    <mergeCell ref="A11:E11"/>
    <mergeCell ref="A29:E29"/>
    <mergeCell ref="A40:E40"/>
  </mergeCells>
  <conditionalFormatting sqref="D5:E47">
    <cfRule type="cellIs" priority="2" operator="equal" aboveAverage="0" equalAverage="0" bottom="0" percent="0" rank="0" text="" dxfId="52">
      <formula>"Officiel"</formula>
    </cfRule>
    <cfRule type="cellIs" priority="3" operator="equal" aboveAverage="0" equalAverage="0" bottom="0" percent="0" rank="0" text="" dxfId="52">
      <formula>"Publiée"</formula>
    </cfRule>
    <cfRule type="cellIs" priority="4" operator="equal" aboveAverage="0" equalAverage="0" bottom="0" percent="0" rank="0" text="" dxfId="51">
      <formula>"À reconfirmer"</formula>
    </cfRule>
    <cfRule type="cellIs" priority="5" operator="equal" aboveAverage="0" equalAverage="0" bottom="0" percent="0" rank="0" text="" dxfId="53">
      <formula>"À vérifier"</formula>
    </cfRule>
  </conditionalFormatting>
  <hyperlinks>
    <hyperlink ref="D13" r:id="rId1" display="Ouvrir ↗"/>
    <hyperlink ref="D14" r:id="rId2" display="Ouvrir ↗"/>
    <hyperlink ref="D15" r:id="rId3" display="Ouvrir ↗"/>
    <hyperlink ref="D16" r:id="rId4" display="Ouvrir ↗"/>
    <hyperlink ref="D17" r:id="rId5" display="Ouvrir ↗"/>
    <hyperlink ref="D18" r:id="rId6" display="Ouvrir ↗"/>
    <hyperlink ref="D19" r:id="rId7" display="Ouvrir ↗"/>
    <hyperlink ref="D20" r:id="rId8" display="Ouvrir ↗"/>
    <hyperlink ref="D21" r:id="rId9" display="Ouvrir ↗"/>
    <hyperlink ref="D22" r:id="rId10" display="Ouvrir ↗"/>
    <hyperlink ref="D23" r:id="rId11" display="Ouvrir ↗"/>
    <hyperlink ref="D24" r:id="rId12" display="Ouvrir ↗"/>
    <hyperlink ref="D25" r:id="rId13" display="Ouvrir ↗"/>
    <hyperlink ref="D26" r:id="rId14" display="Ouvrir ↗"/>
    <hyperlink ref="D27" r:id="rId15" display="Ouvrir ↗"/>
    <hyperlink ref="D31" r:id="rId16" display="Ouvrir ↗"/>
    <hyperlink ref="D32" r:id="rId17" display="Ouvrir ↗"/>
    <hyperlink ref="D33" r:id="rId18" display="Ouvrir ↗"/>
    <hyperlink ref="D34" r:id="rId19" display="Ouvrir ↗"/>
    <hyperlink ref="D35" r:id="rId20" display="Ouvrir ↗"/>
    <hyperlink ref="D36" r:id="rId21" display="Ouvrir ↗"/>
    <hyperlink ref="D37" r:id="rId22" display="Ouvrir ↗"/>
    <hyperlink ref="D38" r:id="rId23" display="Ouvrir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0"/>
  </cols>
  <sheetData>
    <row r="1" customFormat="false" ht="39.75" hidden="false" customHeight="true" outlineLevel="0" collapsed="false">
      <c r="A1" s="1" t="s">
        <v>465</v>
      </c>
      <c r="B1" s="1"/>
    </row>
    <row r="2" customFormat="false" ht="24" hidden="false" customHeight="true" outlineLevel="0" collapsed="false">
      <c r="A2" s="2" t="s">
        <v>466</v>
      </c>
      <c r="B2" s="2"/>
    </row>
    <row r="4" customFormat="false" ht="15" hidden="false" customHeight="false" outlineLevel="0" collapsed="false">
      <c r="A4" s="62" t="s">
        <v>467</v>
      </c>
      <c r="B4" s="63" t="s">
        <v>468</v>
      </c>
    </row>
    <row r="5" customFormat="false" ht="15" hidden="false" customHeight="false" outlineLevel="0" collapsed="false">
      <c r="A5" s="62" t="s">
        <v>469</v>
      </c>
      <c r="B5" s="63" t="s">
        <v>470</v>
      </c>
    </row>
    <row r="6" customFormat="false" ht="15" hidden="false" customHeight="false" outlineLevel="0" collapsed="false">
      <c r="A6" s="62" t="s">
        <v>471</v>
      </c>
      <c r="B6" s="63" t="s">
        <v>472</v>
      </c>
    </row>
    <row r="7" customFormat="false" ht="15" hidden="false" customHeight="false" outlineLevel="0" collapsed="false">
      <c r="A7" s="62" t="s">
        <v>473</v>
      </c>
      <c r="B7" s="63" t="s">
        <v>474</v>
      </c>
    </row>
    <row r="8" customFormat="false" ht="15" hidden="false" customHeight="false" outlineLevel="0" collapsed="false">
      <c r="A8" s="62" t="s">
        <v>475</v>
      </c>
      <c r="B8" s="63" t="s">
        <v>476</v>
      </c>
    </row>
    <row r="9" customFormat="false" ht="15" hidden="false" customHeight="false" outlineLevel="0" collapsed="false">
      <c r="A9" s="62" t="s">
        <v>477</v>
      </c>
      <c r="B9" s="63" t="s">
        <v>478</v>
      </c>
    </row>
    <row r="10" customFormat="false" ht="15" hidden="false" customHeight="false" outlineLevel="0" collapsed="false">
      <c r="A10" s="62" t="s">
        <v>479</v>
      </c>
      <c r="B10" s="63" t="s">
        <v>480</v>
      </c>
    </row>
    <row r="11" customFormat="false" ht="15" hidden="false" customHeight="false" outlineLevel="0" collapsed="false">
      <c r="A11" s="62" t="s">
        <v>481</v>
      </c>
      <c r="B11" s="63" t="s">
        <v>482</v>
      </c>
    </row>
    <row r="12" customFormat="false" ht="15" hidden="false" customHeight="false" outlineLevel="0" collapsed="false">
      <c r="A12" s="62" t="s">
        <v>483</v>
      </c>
      <c r="B12" s="63" t="s">
        <v>484</v>
      </c>
    </row>
    <row r="13" customFormat="false" ht="15" hidden="false" customHeight="false" outlineLevel="0" collapsed="false">
      <c r="A13" s="62" t="s">
        <v>485</v>
      </c>
      <c r="B13" s="63" t="s">
        <v>486</v>
      </c>
    </row>
    <row r="14" customFormat="false" ht="15" hidden="false" customHeight="false" outlineLevel="0" collapsed="false">
      <c r="A14" s="62" t="s">
        <v>487</v>
      </c>
      <c r="B14" s="63" t="s">
        <v>488</v>
      </c>
    </row>
    <row r="15" customFormat="false" ht="15" hidden="false" customHeight="false" outlineLevel="0" collapsed="false">
      <c r="A15" s="62" t="s">
        <v>489</v>
      </c>
      <c r="B15" s="63" t="s">
        <v>490</v>
      </c>
    </row>
    <row r="16" customFormat="false" ht="15" hidden="false" customHeight="false" outlineLevel="0" collapsed="false">
      <c r="A16" s="62" t="s">
        <v>491</v>
      </c>
      <c r="B16" s="63" t="s">
        <v>492</v>
      </c>
    </row>
    <row r="17" customFormat="false" ht="15" hidden="false" customHeight="false" outlineLevel="0" collapsed="false">
      <c r="A17" s="62" t="s">
        <v>493</v>
      </c>
      <c r="B17" s="63" t="s">
        <v>494</v>
      </c>
    </row>
    <row r="18" customFormat="false" ht="15" hidden="false" customHeight="false" outlineLevel="0" collapsed="false">
      <c r="A18" s="62" t="s">
        <v>495</v>
      </c>
      <c r="B18" s="63" t="s">
        <v>496</v>
      </c>
    </row>
    <row r="19" customFormat="false" ht="15" hidden="false" customHeight="false" outlineLevel="0" collapsed="false">
      <c r="A19" s="62" t="s">
        <v>497</v>
      </c>
      <c r="B19" s="63" t="s">
        <v>498</v>
      </c>
    </row>
    <row r="20" customFormat="false" ht="15" hidden="false" customHeight="false" outlineLevel="0" collapsed="false">
      <c r="A20" s="62" t="s">
        <v>499</v>
      </c>
      <c r="B20" s="63" t="s">
        <v>500</v>
      </c>
    </row>
    <row r="21" customFormat="false" ht="15" hidden="false" customHeight="false" outlineLevel="0" collapsed="false">
      <c r="A21" s="62" t="s">
        <v>501</v>
      </c>
      <c r="B21" s="63" t="s">
        <v>502</v>
      </c>
    </row>
    <row r="22" customFormat="false" ht="15" hidden="false" customHeight="false" outlineLevel="0" collapsed="false">
      <c r="A22" s="62" t="s">
        <v>503</v>
      </c>
      <c r="B22" s="63" t="s">
        <v>504</v>
      </c>
    </row>
    <row r="23" customFormat="false" ht="15" hidden="false" customHeight="false" outlineLevel="0" collapsed="false">
      <c r="A23" s="62" t="s">
        <v>505</v>
      </c>
      <c r="B23" s="63" t="s">
        <v>506</v>
      </c>
    </row>
    <row r="24" customFormat="false" ht="15" hidden="false" customHeight="false" outlineLevel="0" collapsed="false">
      <c r="A24" s="62" t="s">
        <v>507</v>
      </c>
      <c r="B24" s="63" t="s">
        <v>508</v>
      </c>
    </row>
    <row r="25" customFormat="false" ht="15" hidden="false" customHeight="false" outlineLevel="0" collapsed="false">
      <c r="A25" s="62" t="s">
        <v>509</v>
      </c>
      <c r="B25" s="63" t="s">
        <v>510</v>
      </c>
    </row>
    <row r="26" customFormat="false" ht="15" hidden="false" customHeight="false" outlineLevel="0" collapsed="false">
      <c r="A26" s="62" t="s">
        <v>511</v>
      </c>
      <c r="B26" s="63" t="s">
        <v>512</v>
      </c>
    </row>
    <row r="27" customFormat="false" ht="15" hidden="false" customHeight="false" outlineLevel="0" collapsed="false">
      <c r="A27" s="62" t="s">
        <v>513</v>
      </c>
      <c r="B27" s="63" t="s">
        <v>514</v>
      </c>
    </row>
    <row r="28" customFormat="false" ht="15" hidden="false" customHeight="false" outlineLevel="0" collapsed="false">
      <c r="A28" s="62" t="s">
        <v>515</v>
      </c>
      <c r="B28" s="63" t="s">
        <v>516</v>
      </c>
    </row>
    <row r="29" customFormat="false" ht="15" hidden="false" customHeight="false" outlineLevel="0" collapsed="false">
      <c r="A29" s="62" t="s">
        <v>517</v>
      </c>
      <c r="B29" s="63" t="s">
        <v>518</v>
      </c>
    </row>
    <row r="30" customFormat="false" ht="15" hidden="false" customHeight="false" outlineLevel="0" collapsed="false">
      <c r="A30" s="62" t="s">
        <v>519</v>
      </c>
      <c r="B30" s="63" t="s">
        <v>520</v>
      </c>
    </row>
    <row r="31" customFormat="false" ht="15" hidden="false" customHeight="false" outlineLevel="0" collapsed="false">
      <c r="A31" s="62" t="s">
        <v>521</v>
      </c>
      <c r="B31" s="63" t="s">
        <v>522</v>
      </c>
    </row>
    <row r="32" customFormat="false" ht="15" hidden="false" customHeight="false" outlineLevel="0" collapsed="false">
      <c r="A32" s="62" t="s">
        <v>523</v>
      </c>
      <c r="B32" s="63" t="s">
        <v>524</v>
      </c>
    </row>
    <row r="33" customFormat="false" ht="15" hidden="false" customHeight="false" outlineLevel="0" collapsed="false">
      <c r="A33" s="62" t="s">
        <v>525</v>
      </c>
      <c r="B33" s="63" t="s">
        <v>526</v>
      </c>
    </row>
    <row r="34" customFormat="false" ht="15" hidden="false" customHeight="false" outlineLevel="0" collapsed="false">
      <c r="A34" s="62" t="s">
        <v>527</v>
      </c>
      <c r="B34" s="63" t="s">
        <v>528</v>
      </c>
    </row>
    <row r="35" customFormat="false" ht="15" hidden="false" customHeight="false" outlineLevel="0" collapsed="false">
      <c r="A35" s="62" t="s">
        <v>529</v>
      </c>
      <c r="B35" s="63" t="s">
        <v>530</v>
      </c>
    </row>
    <row r="36" customFormat="false" ht="15" hidden="false" customHeight="false" outlineLevel="0" collapsed="false">
      <c r="A36" s="62" t="s">
        <v>531</v>
      </c>
      <c r="B36" s="63" t="s">
        <v>532</v>
      </c>
    </row>
    <row r="37" customFormat="false" ht="15" hidden="false" customHeight="false" outlineLevel="0" collapsed="false">
      <c r="A37" s="62" t="s">
        <v>533</v>
      </c>
      <c r="B37" s="63" t="s">
        <v>534</v>
      </c>
    </row>
    <row r="38" customFormat="false" ht="15" hidden="false" customHeight="false" outlineLevel="0" collapsed="false">
      <c r="A38" s="62" t="s">
        <v>535</v>
      </c>
      <c r="B38" s="63" t="s">
        <v>536</v>
      </c>
    </row>
    <row r="39" customFormat="false" ht="15" hidden="false" customHeight="false" outlineLevel="0" collapsed="false">
      <c r="A39" s="62" t="s">
        <v>537</v>
      </c>
      <c r="B39" s="63" t="s">
        <v>538</v>
      </c>
    </row>
    <row r="40" customFormat="false" ht="15" hidden="false" customHeight="false" outlineLevel="0" collapsed="false">
      <c r="A40" s="62" t="s">
        <v>539</v>
      </c>
      <c r="B40" s="63" t="s">
        <v>540</v>
      </c>
    </row>
    <row r="41" customFormat="false" ht="15" hidden="false" customHeight="false" outlineLevel="0" collapsed="false">
      <c r="A41" s="62" t="s">
        <v>541</v>
      </c>
      <c r="B41" s="63" t="s">
        <v>542</v>
      </c>
    </row>
    <row r="42" customFormat="false" ht="15" hidden="false" customHeight="false" outlineLevel="0" collapsed="false">
      <c r="A42" s="62" t="s">
        <v>543</v>
      </c>
      <c r="B42" s="63" t="s">
        <v>544</v>
      </c>
    </row>
    <row r="43" customFormat="false" ht="15" hidden="false" customHeight="false" outlineLevel="0" collapsed="false">
      <c r="A43" s="62" t="s">
        <v>545</v>
      </c>
      <c r="B43" s="63" t="s">
        <v>546</v>
      </c>
    </row>
    <row r="44" customFormat="false" ht="15" hidden="false" customHeight="false" outlineLevel="0" collapsed="false">
      <c r="A44" s="62" t="s">
        <v>547</v>
      </c>
      <c r="B44" s="63" t="s">
        <v>548</v>
      </c>
    </row>
    <row r="45" customFormat="false" ht="15" hidden="false" customHeight="false" outlineLevel="0" collapsed="false">
      <c r="A45" s="62" t="s">
        <v>549</v>
      </c>
      <c r="B45" s="63" t="s">
        <v>550</v>
      </c>
    </row>
    <row r="46" customFormat="false" ht="15" hidden="false" customHeight="false" outlineLevel="0" collapsed="false">
      <c r="A46" s="62" t="s">
        <v>551</v>
      </c>
      <c r="B46" s="63" t="s">
        <v>552</v>
      </c>
    </row>
    <row r="47" customFormat="false" ht="15" hidden="false" customHeight="false" outlineLevel="0" collapsed="false">
      <c r="A47" s="62" t="s">
        <v>553</v>
      </c>
      <c r="B47" s="63" t="s">
        <v>554</v>
      </c>
    </row>
    <row r="48" customFormat="false" ht="15" hidden="false" customHeight="false" outlineLevel="0" collapsed="false">
      <c r="A48" s="62" t="s">
        <v>555</v>
      </c>
      <c r="B48" s="63" t="s">
        <v>556</v>
      </c>
    </row>
  </sheetData>
  <mergeCells count="2">
    <mergeCell ref="A1:B1"/>
    <mergeCell ref="A2:B2"/>
  </mergeCells>
  <hyperlinks>
    <hyperlink ref="B4" r:id="rId1" display="https://bcp-cand.talent-soft.com/offre-de-emploi/emploi-candidatures-spontanees-stage-pfe-2027-bac-5-h-f_1672.aspx"/>
    <hyperlink ref="B5" r:id="rId2" display="https://ma.indeed.com/cmp/Coface/jobs"/>
    <hyperlink ref="B6" r:id="rId3" display="https://ma.indeed.com/Maroc-emplois-Stage-Finance"/>
    <hyperlink ref="B7" r:id="rId4" display="https://carriere.creditdumaroc.ma/offre-de-emploi/emploi-stage-pfe-analyste-d-affaires-grand-casablanca-el-jadida-rabat-kenitra-temara-tanger-tetouan_3197.aspx"/>
    <hyperlink ref="B8" r:id="rId5" display="https://carriere.creditdumaroc.ma/Pages/Offre/detailoffre.aspx?LCID=1036&amp;idOffre=3211&amp;idOrigine=502&amp;offerReference=2025-3211"/>
    <hyperlink ref="B9" r:id="rId6" display="https://emplois-afrique.kpmg.com/stage-alternance-maroc"/>
    <hyperlink ref="B10" r:id="rId7" display="https://expleo.com/global/en/careers/"/>
    <hyperlink ref="B11" r:id="rId8" display="https://bghit-nekhdem.com/coficab-recrute-des-stagiaires-pfe-2025-decouvrez-les-projets-disponibles/"/>
    <hyperlink ref="B12" r:id="rId9" display="https://careers.te.com/job/Tanger-Finance-Development-Program-Trainee-%28mfd%29-TNG-9000/1259786700"/>
    <hyperlink ref="B13" r:id="rId10" display="https://www.iagora.com/work/fr/offre/stage-maroc-management/5984409"/>
    <hyperlink ref="B14" r:id="rId11" display="https://www.dreamjob.ma/emploi/tanger-med-port-authority-candidature-spontanee/"/>
    <hyperlink ref="B15" r:id="rId12" display="https://www.rekrute.com/offre-emploi-stagiaire-pfe---campagne-2026-hf---finance-audit---commercial-recrutement-saham-bank-casablanca-178707.html"/>
    <hyperlink ref="B16" r:id="rId13" display="https://www.dreamjob.ma/stage/coface-recrute-stagiaires/"/>
    <hyperlink ref="B17" r:id="rId14" display="https://www.dreamjob.ma/stage/deloitte-maroc-lance-sa-campagne-de-stages-audit-pfe-2026/"/>
    <hyperlink ref="B18" r:id="rId15" display="https://www.iagora.com/work/fr/offre/stage-maroc-achats/5678271"/>
    <hyperlink ref="B19" r:id="rId16" display="https://www.jobsquare.ma/job/18100/stage-pfe-finance-h-f-power-bi-6-mois-casablanca/"/>
    <hyperlink ref="B20" r:id="rId17" display="https://www.dreamjob.ma/stage/stages-pfe-a-saisir-chez-labelvie-a-skhirat/"/>
    <hyperlink ref="B21" r:id="rId18" display="https://ma.indeed.com/cmp/Valeo-Maroc/about"/>
    <hyperlink ref="B22" r:id="rId19" display="https://www.dreamjob.ma/stage/orhan-automotive-lance-une-campagne-de-recrutement-de-stagiaires-a-tanger/"/>
    <hyperlink ref="B23" r:id="rId20" display="https://www.dreamjob.ma/a-la-une/stages-ouverts-a-tanger-med-chez-apm-terminals/"/>
    <hyperlink ref="B24" r:id="rId21" display="https://www.rekrute.com/offre-emploi-lancement-campagne-de-stages-pfe-2025-recrutement-scr-maroc-casablanca-167765.html"/>
    <hyperlink ref="B25" r:id="rId22" display="https://www.dreamjob.ma/emploi/cih-bank-recrute-des-analystes-risques/"/>
    <hyperlink ref="B26" r:id="rId23" display="https://www.attijariwafabank.com"/>
    <hyperlink ref="B27" r:id="rId24" display="https://www.dreamjob.ma/stage/axa-assurance-recrutement-stagiaires/"/>
    <hyperlink ref="B28" r:id="rId25" display="https://www.dreamjob.ma/emploi/finance-data-et-it-wafa-assurance-recrute-a-casablanca-et-fes/"/>
    <hyperlink ref="B29" r:id="rId26" display="https://bghit-nekhdem.com/sanlam-maroc-lance-sa-campagne-de-recrutement-de-stagiaires-pfe-2025/"/>
    <hyperlink ref="B30" r:id="rId27" display="https://www.dreamjob.ma/stage/allianz-assurances-recrute-stagiaires-actuariat-vie-sante/"/>
    <hyperlink ref="B31" r:id="rId28" display="https://www.dreamjob.ma/emploi/opportunites-a-saisir-chez-rma-a-casablanca/"/>
    <hyperlink ref="B32" r:id="rId29" display="https://emplois-afrique.kpmg.com/emploi/casablanca/auditeur-moroccan-market-stage-pfe-f-h/3358/31698089856"/>
    <hyperlink ref="B33" r:id="rId30" display="https://www.dreamjob.ma/stage/bdo-maroc-recherche-des-stagiaires-pfe-en-audit/"/>
    <hyperlink ref="B34" r:id="rId31" display="https://www.modiami.com/2026/10/offres-demploi-et-stages-tanger-2026.html"/>
    <hyperlink ref="B35" r:id="rId32" display="https://ma.indeed.com/cmp/Opmobility/jobs"/>
    <hyperlink ref="B36" r:id="rId33" display="https://www.dreamjob.ma/emploi/ti-fluid-systems-recrute-plusieurs-postes/"/>
    <hyperlink ref="B37" r:id="rId34" display="https://www.trigo-group.com"/>
    <hyperlink ref="B38" r:id="rId35" display="https://www.dreamjob.ma/emploi/yazaki-maroc-recrute/"/>
    <hyperlink ref="B39" r:id="rId36" display="https://bghit-nekhdem.com/plusieurs-opportunites-a-saisir-chez-bank-of-africa/"/>
    <hyperlink ref="B40" r:id="rId37" display="https://www.atlantasanad.ma"/>
    <hyperlink ref="B41" r:id="rId38" display="https://www.dreamjob.ma/emploi/stagiaires-pfe-en-tax-recherches-par-pwc-maroc/"/>
    <hyperlink ref="B42" r:id="rId39" display="https://www.ey.com"/>
    <hyperlink ref="B43" r:id="rId40" display="https://alwadifa-maroc.com/offre/show/id/23355"/>
    <hyperlink ref="B44" r:id="rId41" display="https://www.marocworks.com/fr/jobs/groupe-banque-populaire-stages-projets-de-fin-d-2027"/>
    <hyperlink ref="B45" r:id="rId42" display="https://africarrieres.com/ghana/en/emplois/stages-pfe-20262027-datalab-pre-embauche"/>
    <hyperlink ref="B46" r:id="rId43" display="https://www.dreamjob.ma/stage/coface-ouvre-des-stages-en-data-et-intelligence-artificielle-a-casablanca/"/>
    <hyperlink ref="B47" r:id="rId44" display="https://uirmag.uir.ac.ma/article/stage-pfe-maroc-2027"/>
    <hyperlink ref="B48" r:id="rId45" display="https://www.jobsquare.ma/blog/guide-stage-pfe-maroc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BD5E1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72</v>
      </c>
      <c r="B1" s="0" t="s">
        <v>36</v>
      </c>
      <c r="C1" s="0" t="s">
        <v>45</v>
      </c>
      <c r="D1" s="0" t="s">
        <v>52</v>
      </c>
      <c r="E1" s="0" t="s">
        <v>45</v>
      </c>
    </row>
    <row r="2" customFormat="false" ht="15" hidden="false" customHeight="false" outlineLevel="0" collapsed="false">
      <c r="A2" s="0" t="s">
        <v>95</v>
      </c>
      <c r="B2" s="0" t="s">
        <v>156</v>
      </c>
      <c r="C2" s="0" t="s">
        <v>42</v>
      </c>
      <c r="D2" s="0" t="s">
        <v>103</v>
      </c>
      <c r="E2" s="0" t="s">
        <v>74</v>
      </c>
    </row>
    <row r="3" customFormat="false" ht="15" hidden="false" customHeight="false" outlineLevel="0" collapsed="false">
      <c r="A3" s="0" t="s">
        <v>41</v>
      </c>
      <c r="B3" s="0" t="s">
        <v>254</v>
      </c>
      <c r="C3" s="0" t="s">
        <v>74</v>
      </c>
      <c r="D3" s="0" t="s">
        <v>35</v>
      </c>
    </row>
    <row r="4" customFormat="false" ht="15" hidden="false" customHeight="false" outlineLevel="0" collapsed="false">
      <c r="A4" s="0" t="s">
        <v>342</v>
      </c>
      <c r="C4" s="0" t="s">
        <v>106</v>
      </c>
      <c r="D4" s="0" t="s">
        <v>62</v>
      </c>
    </row>
    <row r="5" customFormat="false" ht="15" hidden="false" customHeight="false" outlineLevel="0" collapsed="false">
      <c r="A5" s="0" t="s">
        <v>343</v>
      </c>
    </row>
    <row r="6" customFormat="false" ht="15" hidden="false" customHeight="false" outlineLevel="0" collapsed="false">
      <c r="A6" s="0" t="s">
        <v>344</v>
      </c>
    </row>
    <row r="7" customFormat="false" ht="15" hidden="false" customHeight="false" outlineLevel="0" collapsed="false">
      <c r="A7" s="0" t="s">
        <v>345</v>
      </c>
    </row>
    <row r="8" customFormat="false" ht="15" hidden="false" customHeight="false" outlineLevel="0" collapsed="false">
      <c r="A8" s="0" t="s">
        <v>346</v>
      </c>
    </row>
    <row r="9" customFormat="false" ht="15" hidden="false" customHeight="false" outlineLevel="0" collapsed="false">
      <c r="A9" s="0" t="s">
        <v>347</v>
      </c>
    </row>
    <row r="10" customFormat="false" ht="15" hidden="false" customHeight="false" outlineLevel="0" collapsed="false">
      <c r="A10" s="0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2026-10-29T15:29:41Z</dcterms:created>
  <dc:creator>openpyxl</dc:creator>
  <dc:description/>
  <dc:language>en-US</dc:language>
  <cp:lastModifiedBy/>
  <dcterms:modified xsi:type="dcterms:W3CDTF">2026-10-29T15:29:45Z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