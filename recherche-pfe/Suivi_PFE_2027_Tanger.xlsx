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2.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omments2.xml" ContentType="application/vnd.openxmlformats-officedocument.spreadsheetml.comments+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ivi des candidatures" sheetId="1" state="visible" r:id="rId3"/>
    <sheet name="Tableau de bord" sheetId="2" state="visible" r:id="rId4"/>
    <sheet name="Adaptation des CV" sheetId="3" state="visible" r:id="rId5"/>
    <sheet name="Contacts et liens utiles" sheetId="4" state="visible" r:id="rId6"/>
    <sheet name="Plan d'action" sheetId="5" state="visible" r:id="rId7"/>
    <sheet name="Sources" sheetId="6" state="visible" r:id="rId8"/>
    <sheet name="Listes" sheetId="7" state="hidden" r:id="rId9"/>
  </sheets>
  <definedNames>
    <definedName function="false" hidden="true" localSheetId="0" name="_xlnm._FilterDatabase" vbProcedure="false">'Suivi des candidatures'!$A$4:$U$36</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P4" authorId="0">
      <text>
        <r>
          <rPr>
            <sz val="10"/>
            <rFont val="Arial"/>
            <family val="2"/>
          </rPr>
          <t xml:space="preserve">Calcul automatique : date d'envoi + 10 jours. Vous pouvez écraser la formule.</t>
        </r>
      </text>
    </comment>
    <comment ref="U4" authorId="0">
      <text>
        <r>
          <rPr>
            <sz val="10"/>
            <rFont val="Arial"/>
            <family val="2"/>
          </rPr>
          <t xml:space="preserve">Colonne ajoutée pour alimenter l'indicateur « offres réellement vérifiées ouvertes » du tableau de bord. « Oui » seulement si l'offre a été vue en ligne et n'est pas expirée.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17" authorId="0">
      <text>
        <r>
          <rPr>
            <sz val="10"/>
            <rFont val="Arial"/>
            <family val="2"/>
          </rPr>
          <t xml:space="preserve">Hypothèse : 25 candidatures ciblées d'ici fin janvier 2027. Modifiez librement.</t>
        </r>
      </text>
    </comment>
  </commentList>
</comments>
</file>

<file path=xl/sharedStrings.xml><?xml version="1.0" encoding="utf-8"?>
<sst xmlns="http://schemas.openxmlformats.org/spreadsheetml/2006/main" count="1012" uniqueCount="566">
  <si>
    <t xml:space="preserve">Suivi des candidatures — Stage PFE 2027 (Tanger / Casablanca)</t>
  </si>
  <si>
    <t xml:space="preserve">Recherche du 29/10/2026 · PFE visé : 01/02/2027 → 31/05/2027 · Cellules à remplir : Statut, dates, contacts, notes (fond blanc). La date de relance se calcule seule (envoi + 10 jours), modifiable. « NP » = non publié. Les offres 2026 servent de modèle : surveiller la campagne 2027.</t>
  </si>
  <si>
    <t xml:space="preserve">Légende statuts :  ■ Candidature envoyée (bleu)   ■ Relance à faire (orange)   ■ Entretien prévu (violet)   ■ Refus (gris barré)   ■ Stage obtenu / Pré-embauche confirmée (vert)   ■ À vérifier (jaune pâle)</t>
  </si>
  <si>
    <t xml:space="preserve">Entreprise</t>
  </si>
  <si>
    <t xml:space="preserve">Secteur d'activité</t>
  </si>
  <si>
    <t xml:space="preserve">Ville et localisation</t>
  </si>
  <si>
    <t xml:space="preserve">Intitulé exact du poste ou du stage PFE</t>
  </si>
  <si>
    <t xml:space="preserve">Sujet de PFE proposé</t>
  </si>
  <si>
    <t xml:space="preserve">Compétences demandées</t>
  </si>
  <si>
    <t xml:space="preserve">Version du CV à utiliser</t>
  </si>
  <si>
    <t xml:space="preserve">Niveau de priorité</t>
  </si>
  <si>
    <t xml:space="preserve">Nom du recruteur ou contact RH</t>
  </si>
  <si>
    <t xml:space="preserve">E-mail de candidature vérifié</t>
  </si>
  <si>
    <t xml:space="preserve">Téléphone professionnel vérifié</t>
  </si>
  <si>
    <t xml:space="preserve">Lien direct vers l'offre ou le portail officiel</t>
  </si>
  <si>
    <t xml:space="preserve">Source de l'information</t>
  </si>
  <si>
    <t xml:space="preserve">Statut de candidature</t>
  </si>
  <si>
    <t xml:space="preserve">Date d'envoi</t>
  </si>
  <si>
    <t xml:space="preserve">Date de relance</t>
  </si>
  <si>
    <t xml:space="preserve">Date de l'entretien</t>
  </si>
  <si>
    <t xml:space="preserve">Possibilité de pré-embauche</t>
  </si>
  <si>
    <t xml:space="preserve">Conditions / infos sur la pré-embauche</t>
  </si>
  <si>
    <t xml:space="preserve">Notes et prochaines actions</t>
  </si>
  <si>
    <t xml:space="preserve">Offre PFE vérifiée ouverte ?</t>
  </si>
  <si>
    <t xml:space="preserve">Expleo Group</t>
  </si>
  <si>
    <t xml:space="preserve">Ingénierie &amp; conseil (automobile / aéro)</t>
  </si>
  <si>
    <t xml:space="preserve">Tanger</t>
  </si>
  <si>
    <t xml:space="preserve">Candidature spontanée — Stage PFE FP&amp;A / Data Finance</t>
  </si>
  <si>
    <t xml:space="preserve">Industrialiser le modèle XGBoost de prévision du CA (MAPE 2,39 %) et l'étendre à la prévision des coûts et de la marge par BU, avec tableau de bord Power BI Budget vs Réalisé.</t>
  </si>
  <si>
    <t xml:space="preserve">Python (XGBoost, SHAP), FP&amp;A, reporting, Power BI — acquis lors de votre stage Expleo 2026</t>
  </si>
  <si>
    <t xml:space="preserve">CV A</t>
  </si>
  <si>
    <t xml:space="preserve">1 - Haute</t>
  </si>
  <si>
    <t xml:space="preserve">Votre ex-tuteur / manager FP&amp;A Expleo</t>
  </si>
  <si>
    <t xml:space="preserve">NP</t>
  </si>
  <si>
    <t xml:space="preserve">https://expleo.com/global/en/careers/</t>
  </si>
  <si>
    <t xml:space="preserve">Votre stage Expleo (juil.–août 2026) ; offres Expleo Tanger relayées sur Dreamjob.ma (SAP, 09/2026)</t>
  </si>
  <si>
    <t xml:space="preserve">À contacter</t>
  </si>
  <si>
    <t xml:space="preserve">Possible</t>
  </si>
  <si>
    <t xml:space="preserve">Pas d'offre PFE publiée : à négocier directement avec votre ancien manager (continuité du projet).</t>
  </si>
  <si>
    <t xml:space="preserve">Écrire cette semaine à votre ex-tuteur : proposer la suite du projet de prévision comme sujet PFE + demander une lettre de recommandation.</t>
  </si>
  <si>
    <t xml:space="preserve">Non</t>
  </si>
  <si>
    <t xml:space="preserve">TE Connectivity</t>
  </si>
  <si>
    <t xml:space="preserve">Industrie automobile (connectique)</t>
  </si>
  <si>
    <t xml:space="preserve">Tanger (site TNG)</t>
  </si>
  <si>
    <t xml:space="preserve">Finance Development Program Trainee (m/f/d) — TNG-9000 ; aussi « Master Data Analyst – Finance » (Tanger)</t>
  </si>
  <si>
    <t xml:space="preserve">Prévision des coûts de production et analyse des écarts (PPV, efficience) par machine learning ; automatisation du reporting mensuel.</t>
  </si>
  <si>
    <t xml:space="preserve">Profils finance / génie industriel / audit interne, ERP, Excel avancé (d'après l'offre TE)</t>
  </si>
  <si>
    <t xml:space="preserve">CV B</t>
  </si>
  <si>
    <t xml:space="preserve">https://careers.te.com/job/Tanger-Finance-Development-Program-Trainee-%28mfd%29-TNG-9000/1259786700</t>
  </si>
  <si>
    <t xml:space="preserve">careers.te.com (programme démarré sept. 2025) ; Naukrigulf (FP&amp;A Analyst Tanger)</t>
  </si>
  <si>
    <t xml:space="preserve">À vérifier</t>
  </si>
  <si>
    <t xml:space="preserve">Inconnue</t>
  </si>
  <si>
    <t xml:space="preserve">Programme « trainee » : vérifier s'il mène à un poste (souvent oui dans ce type de programme, non confirmé).</t>
  </si>
  <si>
    <t xml:space="preserve">Créer une alerte sur careers.te.com (Tanger, « intern / PFE / finance »). L'anglais est demandé : préparer un pitch en anglais.</t>
  </si>
  <si>
    <t xml:space="preserve">Renault Group (Renault Tanger Exploitation)</t>
  </si>
  <si>
    <t xml:space="preserve">Industrie automobile</t>
  </si>
  <si>
    <t xml:space="preserve">Tanger (Melloussa)</t>
  </si>
  <si>
    <t xml:space="preserve">Contrôleur de Gestion – Performance &amp; Contrôle – Stagiaires (H/F) [campagne PFE 2026]</t>
  </si>
  <si>
    <t xml:space="preserve">Modèle prédictif du coût de revient usine (coût par véhicule) et tableau de bord KPI de performance (Power BI).</t>
  </si>
  <si>
    <t xml:space="preserve">Bac+5 gestion / contrôle / data ; KPI, tableaux de bord, Power BI (d'après les offres 2026)</t>
  </si>
  <si>
    <t xml:space="preserve">https://www.iagora.com/work/fr/offre/stage-maroc-management/5984409</t>
  </si>
  <si>
    <t xml:space="preserve">Dreamjob.ma 13/02/2026 ; iAgora (publié 26/03/2026)</t>
  </si>
  <si>
    <t xml:space="preserve">Renault a un Graduate Program (Casablanca &amp; Tanger) pour jeunes diplômés : voie naturelle après le PFE.</t>
  </si>
  <si>
    <t xml:space="preserve">Renault a aussi publié des stages « Comptabilité et analyse financière » à Tanger (non daté). Les offres 2026 sont closes (limites 30/04 et 30/05/2026). Surveiller la campagne PFE 2027 (en 2026, publiée en février) : postuler dès l'ouverture.</t>
  </si>
  <si>
    <t xml:space="preserve">Automobile — supply chain / achats</t>
  </si>
  <si>
    <t xml:space="preserve">Stage Supply Chain — Data Analyst / Data Science (6 mois) ; Stage Achats indirects – IA &amp; tableau de bord</t>
  </si>
  <si>
    <t xml:space="preserve">Prévision de la demande pièces et tableau de bord IA de pilotage des achats (Power BI).</t>
  </si>
  <si>
    <t xml:space="preserve">Data analyst / BI, Excel &amp; Power BI, KPI (d'après les offres 2026)</t>
  </si>
  <si>
    <t xml:space="preserve">2 - Moyenne</t>
  </si>
  <si>
    <t xml:space="preserve">https://www.iagora.com/work/fr/offre/stage-maroc-achats/5678271</t>
  </si>
  <si>
    <t xml:space="preserve">iAgora / Dreamjob.ma (offres mars–mai 2026)</t>
  </si>
  <si>
    <t xml:space="preserve">Graduate Program Renault (voir ligne ci-dessus).</t>
  </si>
  <si>
    <t xml:space="preserve">Même campagne que la ligne précédente : postuler aux 2 profils (contrôle de gestion + data).</t>
  </si>
  <si>
    <t xml:space="preserve">Valeo</t>
  </si>
  <si>
    <t xml:space="preserve">Équipementier automobile</t>
  </si>
  <si>
    <t xml:space="preserve">Tanger (Tanger Automotive City)</t>
  </si>
  <si>
    <t xml:space="preserve">Stage Finance (H/F) — Tanger</t>
  </si>
  <si>
    <t xml:space="preserve">Automatisation du reporting mensuel et prévision du BFR / stocks par ML.</t>
  </si>
  <si>
    <t xml:space="preserve">Non détaillées publiquement — vérifier l'annonce</t>
  </si>
  <si>
    <t xml:space="preserve">https://ma.indeed.com/cmp/Valeo-Maroc/about</t>
  </si>
  <si>
    <t xml:space="preserve">Indeed Maroc (annonce non datée) ; Dreamjob.ma 02/2026 (CDI + PFE au Maroc)</t>
  </si>
  <si>
    <t xml:space="preserve">Ouvrir la page Indeed et vérifier la date de l'offre « Stage Finance ».</t>
  </si>
  <si>
    <t xml:space="preserve">Tanger Med (TMSA / Tanger Med Port Authority)</t>
  </si>
  <si>
    <t xml:space="preserve">Port &amp; logistique</t>
  </si>
  <si>
    <t xml:space="preserve">Tanger Med (Ksar Sghir)</t>
  </si>
  <si>
    <t xml:space="preserve">Candidature spontanée — Stage PFE contrôle de gestion / analyse financière</t>
  </si>
  <si>
    <t xml:space="preserve">Prévision des volumes et revenus portuaires, analyse de rentabilité par activité.</t>
  </si>
  <si>
    <t xml:space="preserve">Non détaillées — candidature spontanée</t>
  </si>
  <si>
    <t xml:space="preserve">https://www.dreamjob.ma/emploi/tanger-med-port-authority-candidature-spontanee/</t>
  </si>
  <si>
    <t xml:space="preserve">Dreamjob.ma (candidature spontanée Tanger Med)</t>
  </si>
  <si>
    <t xml:space="preserve">À postuler</t>
  </si>
  <si>
    <t xml:space="preserve">Déposer la candidature spontanée en ciblant « Finance / Contrôle de gestion ». Vérifier sur tangermed.ma.</t>
  </si>
  <si>
    <t xml:space="preserve">APM Terminals MedPort Tangier</t>
  </si>
  <si>
    <t xml:space="preserve">Terminal portuaire / logistique</t>
  </si>
  <si>
    <t xml:space="preserve">Tanger Med</t>
  </si>
  <si>
    <t xml:space="preserve">Campagne Stages PFE (2025) — candidature finance / performance</t>
  </si>
  <si>
    <t xml:space="preserve">Modélisation du revenu par EVP et analyse de productivité du terminal (KPI opérationnels).</t>
  </si>
  <si>
    <t xml:space="preserve">Offres récentes : HSSE, Opérations, Maintenance, Lean (pas de finance publiée)</t>
  </si>
  <si>
    <t xml:space="preserve">https://www.dreamjob.ma/a-la-une/stages-ouverts-a-tanger-med-chez-apm-terminals/</t>
  </si>
  <si>
    <t xml:space="preserve">Dreamjob.ma ; Bghit-nekhdem (9 opportunités APM Tanger)</t>
  </si>
  <si>
    <t xml:space="preserve">Vérifier sur le portail carrières APM Terminals si une offre finance / Lean finance est publiée.</t>
  </si>
  <si>
    <t xml:space="preserve">OPmobility (ex-Plastic Omnium)</t>
  </si>
  <si>
    <t xml:space="preserve">Candidature spontanée — PFE supply chain planning / data finance</t>
  </si>
  <si>
    <t xml:space="preserve">Prévision de la demande (S&amp;OP) et impact sur le BFR.</t>
  </si>
  <si>
    <t xml:space="preserve">Postes Tanger visibles : supply chain planning, IT data (CDI)</t>
  </si>
  <si>
    <t xml:space="preserve">3 - Basse</t>
  </si>
  <si>
    <t xml:space="preserve">https://ma.indeed.com/cmp/Opmobility/jobs</t>
  </si>
  <si>
    <t xml:space="preserve">Indeed Maroc (pas de PFE trouvé)</t>
  </si>
  <si>
    <t xml:space="preserve">Surveiller Indeed / LinkedIn.</t>
  </si>
  <si>
    <t xml:space="preserve">TRIGO Group</t>
  </si>
  <si>
    <t xml:space="preserve">Qualité automobile (services)</t>
  </si>
  <si>
    <t xml:space="preserve">Candidature spontanée — PFE analyse de performance / data qualité</t>
  </si>
  <si>
    <t xml:space="preserve">Tableau de bord de performance et analyse des coûts de non-qualité.</t>
  </si>
  <si>
    <t xml:space="preserve">Aucune offre PFE trouvée</t>
  </si>
  <si>
    <t xml:space="preserve">https://www.trigo-group.com</t>
  </si>
  <si>
    <t xml:space="preserve">Aucune offre trouvée lors de la recherche</t>
  </si>
  <si>
    <t xml:space="preserve">Faible adéquation finance : à traiter en dernier.</t>
  </si>
  <si>
    <t xml:space="preserve">Orhan Automotive</t>
  </si>
  <si>
    <t xml:space="preserve">Stage Finance – Tanger (objet du mail : « Stage Finance »)</t>
  </si>
  <si>
    <t xml:space="preserve">Analyse des écarts budgétaires et automatisation du reporting.</t>
  </si>
  <si>
    <t xml:space="preserve">Non détaillées publiquement</t>
  </si>
  <si>
    <t xml:space="preserve">E-mail indiqué dans l'annonce Dreamjob (à relever)</t>
  </si>
  <si>
    <t xml:space="preserve">https://www.dreamjob.ma/stage/orhan-automotive-lance-une-campagne-de-recrutement-de-stagiaires-a-tanger/</t>
  </si>
  <si>
    <t xml:space="preserve">Dreamjob.ma (campagne de stagiaires Tanger)</t>
  </si>
  <si>
    <t xml:space="preserve">Vérifier que la campagne est encore active et relever l'e-mail exact.</t>
  </si>
  <si>
    <t xml:space="preserve">TI Automotive / TI Fluid Systems</t>
  </si>
  <si>
    <t xml:space="preserve">Candidature spontanée — PFE data achats / analyse opérationnelle (stages publiés : achats, conception mécanique)</t>
  </si>
  <si>
    <t xml:space="preserve">Analyse des dépenses d'achats et tableau de bord de performance fournisseurs (Power BI).</t>
  </si>
  <si>
    <t xml:space="preserve">Stages publiés : achats, conception mécanique (pas de finance)</t>
  </si>
  <si>
    <t xml:space="preserve">https://www.dreamjob.ma/emploi/ti-fluid-systems-recrute-plusieurs-postes/</t>
  </si>
  <si>
    <t xml:space="preserve">Dreamjob.ma (non daté) ; tangermed.ma (installation à TAC)</t>
  </si>
  <si>
    <t xml:space="preserve">Yazaki Maroc</t>
  </si>
  <si>
    <t xml:space="preserve">Câblage automobile</t>
  </si>
  <si>
    <t xml:space="preserve">Candidature spontanée — PFE finance / contrôle de gestion</t>
  </si>
  <si>
    <t xml:space="preserve">Analyse de la rentabilité par projet client et prévision des coûts.</t>
  </si>
  <si>
    <t xml:space="preserve">Offres Tanger : technique / IT ; « spécialistes finance » cités sur les sites marocains</t>
  </si>
  <si>
    <t xml:space="preserve">https://www.dreamjob.ma/emploi/yazaki-maroc-recrute/</t>
  </si>
  <si>
    <t xml:space="preserve">Dreamjob.ma (non daté)</t>
  </si>
  <si>
    <t xml:space="preserve">Banque Populaire (Groupe BCP)</t>
  </si>
  <si>
    <t xml:space="preserve">Banque</t>
  </si>
  <si>
    <t xml:space="preserve">Casablanca (siège) ; Banque Populaire Tanger-Tétouan</t>
  </si>
  <si>
    <t xml:space="preserve">Stage PFE 2027 (Bac+5) H/F — candidatures spontanées (4 à 6 mois)</t>
  </si>
  <si>
    <t xml:space="preserve">Scoring de crédit PME par ML (XGBoost + SHAP) avec backtesting et comparaison à un modèle logistique.</t>
  </si>
  <si>
    <t xml:space="preserve">Étudiants Bac+5 en dernière année ; domaines : finance, contrôle de gestion, risques, IT, data, IA</t>
  </si>
  <si>
    <t xml:space="preserve">CV C</t>
  </si>
  <si>
    <t xml:space="preserve">https://bcp-cand.talent-soft.com/offre-de-emploi/imprimer-fiche-emploi-candidatures-spontanees-stage-pfe-2027-bac-5-h-f_1672.aspx</t>
  </si>
  <si>
    <t xml:space="preserve">Alwadifa-maroc.com (01/08/2026) ; lien du portail transmis par vous</t>
  </si>
  <si>
    <t xml:space="preserve">Pré-embauche non mentionnée dans l'annonce : à demander en entretien.</t>
  </si>
  <si>
    <t xml:space="preserve">CAMPAGNE 2027 OUVERTE : postuler maintenant via le portail officiel en indiquant « risques / data ». Demander aussi un PFE à la Banque Populaire régionale de Tanger.</t>
  </si>
  <si>
    <t xml:space="preserve">Oui</t>
  </si>
  <si>
    <t xml:space="preserve">Crédit du Maroc</t>
  </si>
  <si>
    <t xml:space="preserve">Casablanca (plusieurs villes)</t>
  </si>
  <si>
    <t xml:space="preserve">Campagne Stages PFE 2025/2026 (dont data) ; ex. « Stage PFE Risque Crédit – Data et modélisation » (11/2024)</t>
  </si>
  <si>
    <t xml:space="preserve">Modélisation de la probabilité de défaut et préparation au nouveau cadre de classification / provisionnement des créances (en vigueur au 01/01/2027).</t>
  </si>
  <si>
    <t xml:space="preserve">Finance, analyse financière, solutions de financement, risque de crédit (offre « analyste d'affaires »)</t>
  </si>
  <si>
    <t xml:space="preserve">https://carriere.creditdumaroc.ma/Pages/Offre/detailoffre.aspx?LCID=1036&amp;idOffre=3211&amp;idOrigine=502&amp;offerReference=2025-3211</t>
  </si>
  <si>
    <t xml:space="preserve">Portail officiel carriere.creditdumaroc.ma (lien transmis par vous) ; Bghit-nekhdem (campagne 2025/2026)</t>
  </si>
  <si>
    <t xml:space="preserve">Votre projet de credit scoring correspond très bien à ce sujet. Surveiller la campagne 2026/2027.</t>
  </si>
  <si>
    <t xml:space="preserve">Tanger / Tétouan (aussi Grand Casablanca, Rabat, Kénitra, Témara, El Jadida)</t>
  </si>
  <si>
    <t xml:space="preserve">Stage PFE – Analyste d'affaires</t>
  </si>
  <si>
    <t xml:space="preserve">Analyse des dossiers de crédit des entreprises : grille d'analyse financière et du risque de contrepartie.</t>
  </si>
  <si>
    <t xml:space="preserve">Bac+5 finance ; analyse financière, solutions de financement, risque de crédit, conformité ; Excel</t>
  </si>
  <si>
    <t xml:space="preserve">https://carriere.creditdumaroc.ma/offre-de-emploi/emploi-stage-pfe-analyste-d-affaires-grand-casablanca-el-jadida-rabat-kenitra-temara-tanger-tetouan_3197.aspx</t>
  </si>
  <si>
    <t xml:space="preserve">Portail officiel Crédit du Maroc (lien transmis par vous) ; Alwadifa (25/11/2024) ; Bghit-nekhdem</t>
  </si>
  <si>
    <t xml:space="preserve">Une des rares offres PFE finance localisées à Tanger. Vérifier sur le portail qu'elle est encore ouverte et qu'elle accepte un démarrage au 01/02/2027.</t>
  </si>
  <si>
    <t xml:space="preserve">Saham Bank</t>
  </si>
  <si>
    <t xml:space="preserve">Casablanca et région (postes aussi à Tanger)</t>
  </si>
  <si>
    <t xml:space="preserve">Stagiaire PFE – Campagne 2026 (H/F) – Finance / Audit / Commercial (50 postes)</t>
  </si>
  <si>
    <t xml:space="preserve">Pilotage de la rentabilité retail et tableau de bord financier ; ou analyse du risque de crédit PME.</t>
  </si>
  <si>
    <t xml:space="preserve">Bac+5 écoles d'ingénieurs / de commerce (offre Rekrute)</t>
  </si>
  <si>
    <t xml:space="preserve">https://www.rekrute.com/offre-emploi-stagiaire-pfe---campagne-2026-hf---finance-audit---commercial-recrutement-saham-bank-casablanca-178707.html</t>
  </si>
  <si>
    <t xml:space="preserve">Rekrute (janv.–avr. 2026) ; Dreamjob.ma</t>
  </si>
  <si>
    <t xml:space="preserve">Campagne 2026 probablement close : surveiller la campagne 2027 (même période). Profil risques aussi possible (CV C).</t>
  </si>
  <si>
    <t xml:space="preserve">Attijariwafa bank</t>
  </si>
  <si>
    <t xml:space="preserve">Casablanca</t>
  </si>
  <si>
    <t xml:space="preserve">Candidature spontanée — PFE risques / finance</t>
  </si>
  <si>
    <t xml:space="preserve">Impact du nouveau cadre de provisionnement des créances (2027) sur le coût du risque.</t>
  </si>
  <si>
    <t xml:space="preserve">Aucune offre PFE 2027 trouvée</t>
  </si>
  <si>
    <t xml:space="preserve">https://www.attijariwafabank.com</t>
  </si>
  <si>
    <t xml:space="preserve">Recherche web (aucune campagne trouvée)</t>
  </si>
  <si>
    <t xml:space="preserve">Vérifier le portail carrières et LinkedIn.</t>
  </si>
  <si>
    <t xml:space="preserve">Coface Maroc — DataLab</t>
  </si>
  <si>
    <t xml:space="preserve">Assurance-crédit / Data &amp; IA</t>
  </si>
  <si>
    <t xml:space="preserve">Casablanca (225 bd d'Anfa)</t>
  </si>
  <si>
    <t xml:space="preserve">Stages PFE 2026/2027 – DataLab (Pré-Embauche) — Stagiaires Data &amp; IA (H/F)</t>
  </si>
  <si>
    <t xml:space="preserve">Modèle de machine learning de prédiction des défauts de paiement d'entreprises (scoring acheteurs), interprétabilité SHAP.</t>
  </si>
  <si>
    <t xml:space="preserve">Bac+5 ingénieur ou master ; apprentissage supervisé et non supervisé, clustering, NLP ; Python et son écosystème</t>
  </si>
  <si>
    <t xml:space="preserve">https://www.dreamjob.ma/stage/coface-ouvre-des-stages-en-data-et-intelligence-artificielle-a-casablanca/</t>
  </si>
  <si>
    <t xml:space="preserve">Dreamjob.ma (26/10/2026) ; Indeed Maroc « Stagiaire Datalab – Offre de pré-embauche » ; Africarrières</t>
  </si>
  <si>
    <t xml:space="preserve">Annoncée comme une offre de pré-embauche (Indeed Maroc). Coface recrute aussi des data scientists / ML engineers en CDI à Casablanca (offres 06 et 08/2026).</t>
  </si>
  <si>
    <t xml:space="preserve">OFFRE OUVERTE : postuler maintenant. Le clustering et le NLP ne figurent pas dans votre CV : n'en parler que si vous les avez pratiqués. Vérifier les dates du stage (votre PFE : 01/02 → 31/05/2027).</t>
  </si>
  <si>
    <t xml:space="preserve">Coface Maroc</t>
  </si>
  <si>
    <t xml:space="preserve">Assurance-crédit</t>
  </si>
  <si>
    <t xml:space="preserve">Stage PFE — Analyse financière / risque crédit (6 mois, rémunéré)</t>
  </si>
  <si>
    <t xml:space="preserve">Analyse financière et arbitrage crédit des acheteurs : grille de notation et alertes précoces.</t>
  </si>
  <si>
    <t xml:space="preserve">Bac+3 et plus en finance ; SAP, Excel ; analyse financière, risque client</t>
  </si>
  <si>
    <t xml:space="preserve">jobs@coface.com (cité dans l'annonce PFE ~2024 — à reconfirmer)</t>
  </si>
  <si>
    <t xml:space="preserve">https://www.dreamjob.ma/stage/coface-recrute-stagiaires/</t>
  </si>
  <si>
    <t xml:space="preserve">Dreamjob.ma / Bghit-nekhdem (campagne ~2024)</t>
  </si>
  <si>
    <t xml:space="preserve">Préciser dans le mail le domaine « analyse financière / risque crédit ». Le stage dure 6 mois et votre PFE 4 : le signaler.</t>
  </si>
  <si>
    <t xml:space="preserve">AXA Assurance Maroc</t>
  </si>
  <si>
    <t xml:space="preserve">Assurance</t>
  </si>
  <si>
    <t xml:space="preserve">Stagiaires études actuarielles (4–6 mois) [annonce 2022]</t>
  </si>
  <si>
    <t xml:space="preserve">Provisionnement des sinistres (Chain Ladder) comparé à une approche ML.</t>
  </si>
  <si>
    <t xml:space="preserve">Profil actuariat / statistiques</t>
  </si>
  <si>
    <t xml:space="preserve">https://www.dreamjob.ma/stage/axa-assurance-recrutement-stagiaires/</t>
  </si>
  <si>
    <t xml:space="preserve">Dreamjob.ma (2022) ; recrutements AXA Assurance Maroc Casablanca (05/2026)</t>
  </si>
  <si>
    <t xml:space="preserve">Candidature spontanée « actuariat / data ».</t>
  </si>
  <si>
    <t xml:space="preserve">Wafa Assurance</t>
  </si>
  <si>
    <t xml:space="preserve">Casablanca / Fès</t>
  </si>
  <si>
    <t xml:space="preserve">Candidature spontanée — PFE actuariat / finance-data</t>
  </si>
  <si>
    <t xml:space="preserve">Tarification automobile : GLM comparé à XGBoost.</t>
  </si>
  <si>
    <t xml:space="preserve">Postes publiés (CDI) : actuariat, IFRS 17, gouvernance des données</t>
  </si>
  <si>
    <t xml:space="preserve">https://www.dreamjob.ma/emploi/finance-data-et-it-wafa-assurance-recrute-a-casablanca-et-fes/</t>
  </si>
  <si>
    <t xml:space="preserve">Dreamjob.ma (13/10/2026, postes CDI)</t>
  </si>
  <si>
    <t xml:space="preserve">Les postes ouverts montrent des besoins finance / data : candidature spontanée.</t>
  </si>
  <si>
    <t xml:space="preserve">AtlantaSanad</t>
  </si>
  <si>
    <t xml:space="preserve">Assurance (groupe Holmarcom)</t>
  </si>
  <si>
    <t xml:space="preserve">Candidature spontanée — PFE actuariat / data</t>
  </si>
  <si>
    <t xml:space="preserve">Prédiction des résiliations du portefeuille (churn) par ML.</t>
  </si>
  <si>
    <t xml:space="preserve">https://www.atlantasanad.ma</t>
  </si>
  <si>
    <t xml:space="preserve">Recherche web (aucune offre trouvée)</t>
  </si>
  <si>
    <t xml:space="preserve">RMA</t>
  </si>
  <si>
    <t xml:space="preserve">Candidature spontanée — PFE data (feuille de route data : data analyst / data scientist recrutés en CDI)</t>
  </si>
  <si>
    <t xml:space="preserve">Détection de fraude aux sinistres par ML.</t>
  </si>
  <si>
    <t xml:space="preserve">Data analyst / data scientist (CDI expérimentés)</t>
  </si>
  <si>
    <t xml:space="preserve">https://www.dreamjob.ma/emploi/opportunites-a-saisir-chez-rma-a-casablanca/</t>
  </si>
  <si>
    <t xml:space="preserve">Dreamjob.ma (postes data CDI)</t>
  </si>
  <si>
    <t xml:space="preserve">Sanlam Maroc</t>
  </si>
  <si>
    <t xml:space="preserve">Campagne Stagiaires PFE (2025) — finance, métiers de l'assurance</t>
  </si>
  <si>
    <t xml:space="preserve">Analyse de la rentabilité par branche et automatisation du reporting.</t>
  </si>
  <si>
    <t xml:space="preserve">Finance, métiers de l'assurance ; convention de stage obligatoire</t>
  </si>
  <si>
    <t xml:space="preserve">recrutement@sanlam.ma (annonce 06/2023 — à reconfirmer ; e-mail 2025 masqué)</t>
  </si>
  <si>
    <t xml:space="preserve">https://bghit-nekhdem.com/sanlam-maroc-lance-sa-campagne-de-recrutement-de-stagiaires-pfe-2025/</t>
  </si>
  <si>
    <t xml:space="preserve">Bghit-nekhdem (campagne 2025) ; Dreamjob.ma (2023)</t>
  </si>
  <si>
    <t xml:space="preserve">Objet du mail exigé en 2025 : Spécialité_Durée_Disponibilité (ex. Finance_4_Février).</t>
  </si>
  <si>
    <t xml:space="preserve">Rapprochement Sanlam–Allianz Maroc évoqué en 07/2026 (non confirmé) : vérifier l'entité qui recrute.</t>
  </si>
  <si>
    <t xml:space="preserve">Allianz Maroc</t>
  </si>
  <si>
    <t xml:space="preserve">Stage PFE — Actuariat Vie &amp; Santé [annonces 2023–2024]</t>
  </si>
  <si>
    <t xml:space="preserve">Analyse de la sinistralité santé et provisionnement.</t>
  </si>
  <si>
    <t xml:space="preserve">Bac+4/5 actuariat &amp; finance ; convention de stage</t>
  </si>
  <si>
    <t xml:space="preserve">recrutement.maroc@allianz.com (annonce 04/2023 — à reconfirmer)</t>
  </si>
  <si>
    <t xml:space="preserve">https://www.dreamjob.ma/stage/allianz-assurances-recrute-stagiaires-actuariat-vie-sante/</t>
  </si>
  <si>
    <t xml:space="preserve">Dreamjob.ma (07/04/2023 et 2024)</t>
  </si>
  <si>
    <t xml:space="preserve">Candidature spontanée possible par e-mail.</t>
  </si>
  <si>
    <t xml:space="preserve">Forvis Mazars Maroc</t>
  </si>
  <si>
    <t xml:space="preserve">Audit &amp; conseil</t>
  </si>
  <si>
    <t xml:space="preserve">Stage de fin d'études — Auditeur financier (non sectoriel) — janvier 2027</t>
  </si>
  <si>
    <t xml:space="preserve">Revue analytique automatisée des états financiers (Python) pour la planification de l'audit.</t>
  </si>
  <si>
    <t xml:space="preserve">Non détaillées dans l'extrait (audit financier)</t>
  </si>
  <si>
    <t xml:space="preserve">CV D</t>
  </si>
  <si>
    <t xml:space="preserve">https://ma.indeed.com/Maroc-emplois-Stage-Finance</t>
  </si>
  <si>
    <t xml:space="preserve">Indeed Maroc / iAgora (offre indexée en 10/2026)</t>
  </si>
  <si>
    <t xml:space="preserve">Les cabinets d'audit recrutent souvent leurs stagiaires comme assistants (non confirmé pour cette offre).</t>
  </si>
  <si>
    <t xml:space="preserve">Début en janvier : demander s'il est possible de commencer le 01/02/2027. Ouvrir l'offre sur Indeed pour les détails.</t>
  </si>
  <si>
    <t xml:space="preserve">KPMG Maroc</t>
  </si>
  <si>
    <t xml:space="preserve">Auditeur Moroccan Market — Stage PFE (F/H)</t>
  </si>
  <si>
    <t xml:space="preserve">Data analytics appliqué à l'audit : tests de journaux comptables automatisés.</t>
  </si>
  <si>
    <t xml:space="preserve">Audit financier (voir l'offre)</t>
  </si>
  <si>
    <t xml:space="preserve">https://emplois-afrique.kpmg.com/emploi/casablanca/auditeur-moroccan-market-stage-pfe-f-h/3358/31698089856</t>
  </si>
  <si>
    <t xml:space="preserve">emplois-afrique.kpmg.com (portail officiel)</t>
  </si>
  <si>
    <t xml:space="preserve">Vérifier que l'offre est encore en ligne.</t>
  </si>
  <si>
    <t xml:space="preserve">Deloitte Maroc</t>
  </si>
  <si>
    <t xml:space="preserve">Casablanca (Tanger cité comme site secondaire)</t>
  </si>
  <si>
    <t xml:space="preserve">Campagne Stages Audit PFE (en 2026, lancée en octobre 2025)</t>
  </si>
  <si>
    <t xml:space="preserve">Analyse des risques d'audit par data analytics.</t>
  </si>
  <si>
    <t xml:space="preserve">Audit, comptabilité</t>
  </si>
  <si>
    <t xml:space="preserve">https://www.dreamjob.ma/stage/deloitte-maroc-lance-sa-campagne-de-stages-audit-pfe-2026/</t>
  </si>
  <si>
    <t xml:space="preserve">Dreamjob.ma (10/2025)</t>
  </si>
  <si>
    <t xml:space="preserve">URGENT : la campagne 2026 a ouvert en octobre 2025, la campagne 2027 devrait donc être ouverte maintenant. Vérifier cette semaine.</t>
  </si>
  <si>
    <t xml:space="preserve">PwC Maroc</t>
  </si>
  <si>
    <t xml:space="preserve">Audit &amp; conseil (fiscalité)</t>
  </si>
  <si>
    <t xml:space="preserve">Stagiaires PFE en Tax [12/2025]</t>
  </si>
  <si>
    <t xml:space="preserve">—</t>
  </si>
  <si>
    <t xml:space="preserve">Fiscalité</t>
  </si>
  <si>
    <t xml:space="preserve">https://www.dreamjob.ma/emploi/stagiaires-pfe-en-tax-recherches-par-pwc-maroc/</t>
  </si>
  <si>
    <t xml:space="preserve">Dreamjob.ma (12/2025)</t>
  </si>
  <si>
    <t xml:space="preserve">Adéquation moyenne (fiscalité). Surveiller les PFE audit / advisory.</t>
  </si>
  <si>
    <t xml:space="preserve">EY Maroc</t>
  </si>
  <si>
    <t xml:space="preserve">Candidature spontanée — PFE audit / Financial Services</t>
  </si>
  <si>
    <t xml:space="preserve">Revue analytique et reporting financier.</t>
  </si>
  <si>
    <t xml:space="preserve">Aucune offre trouvée</t>
  </si>
  <si>
    <t xml:space="preserve">https://www.ey.com</t>
  </si>
  <si>
    <t xml:space="preserve">TelQuel 04/2026 (profil du cabinet)</t>
  </si>
  <si>
    <t xml:space="preserve">BDO Maroc</t>
  </si>
  <si>
    <t xml:space="preserve">Audit &amp; expertise comptable</t>
  </si>
  <si>
    <t xml:space="preserve">Plusieurs villes du Maroc</t>
  </si>
  <si>
    <t xml:space="preserve">Stagiaires PFE en audit [11/2024]</t>
  </si>
  <si>
    <t xml:space="preserve">Revue analytique des comptes de PME.</t>
  </si>
  <si>
    <t xml:space="preserve">https://www.dreamjob.ma/stage/bdo-maroc-recherche-des-stagiaires-pfe-en-audit/</t>
  </si>
  <si>
    <t xml:space="preserve">Dreamjob.ma (11/2024)</t>
  </si>
  <si>
    <t xml:space="preserve">Demander s'il y a un bureau à Tanger.</t>
  </si>
  <si>
    <t xml:space="preserve">Cabinet BRIMOU</t>
  </si>
  <si>
    <t xml:space="preserve">Expertise comptable</t>
  </si>
  <si>
    <t xml:space="preserve">Réseau — votre stage de comptabilité (09/2024)</t>
  </si>
  <si>
    <t xml:space="preserve">Votre maître de stage 2024</t>
  </si>
  <si>
    <t xml:space="preserve">Votre CV</t>
  </si>
  <si>
    <t xml:space="preserve">Demander une recommandation et des contacts vers des cabinets ou entreprises de Tanger.</t>
  </si>
  <si>
    <t xml:space="preserve">Tableau de bord — Recherche PFE 2027</t>
  </si>
  <si>
    <t xml:space="preserve">Tous les indicateurs se mettent à jour automatiquement depuis la feuille « Suivi des candidatures ». Ne rien saisir ici.</t>
  </si>
  <si>
    <t xml:space="preserve">Indicateur</t>
  </si>
  <si>
    <t xml:space="preserve">Valeur</t>
  </si>
  <si>
    <t xml:space="preserve">Statut</t>
  </si>
  <si>
    <t xml:space="preserve">Nombre</t>
  </si>
  <si>
    <t xml:space="preserve">Entreprises ciblées (distinctes)</t>
  </si>
  <si>
    <t xml:space="preserve">Pistes / offres suivies (lignes)</t>
  </si>
  <si>
    <t xml:space="preserve">Offres PFE vérifiées ouvertes</t>
  </si>
  <si>
    <t xml:space="preserve">Candidatures envoyées</t>
  </si>
  <si>
    <t xml:space="preserve">Candidature envoyée</t>
  </si>
  <si>
    <t xml:space="preserve">Relances à faire</t>
  </si>
  <si>
    <t xml:space="preserve">Relance à faire</t>
  </si>
  <si>
    <t xml:space="preserve">Entretiens prévus</t>
  </si>
  <si>
    <t xml:space="preserve">Entretien prévu</t>
  </si>
  <si>
    <t xml:space="preserve">Stages obtenus</t>
  </si>
  <si>
    <t xml:space="preserve">En attente</t>
  </si>
  <si>
    <t xml:space="preserve">Pré-embauches confirmées</t>
  </si>
  <si>
    <t xml:space="preserve">Refus</t>
  </si>
  <si>
    <t xml:space="preserve">Taux de réponse (sur candidatures envoyées)</t>
  </si>
  <si>
    <t xml:space="preserve">Stage obtenu</t>
  </si>
  <si>
    <t xml:space="preserve">Taux de réponse = (entretiens + refus + stages obtenus + pré-embauches) ÷ candidatures envoyées. Relances à faire = statut « Relance à faire » + candidatures envoyées / en attente dont la date de relance est atteinte.</t>
  </si>
  <si>
    <t xml:space="preserve">Pré-embauche confirmée</t>
  </si>
  <si>
    <t xml:space="preserve">Progression des candidatures envoyées vers l'objectif</t>
  </si>
  <si>
    <t xml:space="preserve">Priorité</t>
  </si>
  <si>
    <t xml:space="preserve">Pistes</t>
  </si>
  <si>
    <t xml:space="preserve">Envoyées</t>
  </si>
  <si>
    <t xml:space="preserve">Objectif de candidatures (modifiable)</t>
  </si>
  <si>
    <t xml:space="preserve">Avancement</t>
  </si>
  <si>
    <t xml:space="preserve">Adaptation des CV — 4 versions ciblées</t>
  </si>
  <si>
    <t xml:space="preserve">Construit uniquement à partir de votre CV actuel (EMSI Tanger, Expleo, DGI, Cabinet BRIMOU, projets et certifications). Aucune compétence ajoutée : les points « à renforcer » sont signalés comme tels.</t>
  </si>
  <si>
    <t xml:space="preserve">Rubrique</t>
  </si>
  <si>
    <t xml:space="preserve">CV A — Data Science, IA &amp; Machine Learning</t>
  </si>
  <si>
    <t xml:space="preserve">CV B — Finance, FP&amp;A &amp; contrôle de gestion</t>
  </si>
  <si>
    <t xml:space="preserve">CV C — Risque, assurance, crédit &amp; actuariat</t>
  </si>
  <si>
    <t xml:space="preserve">CV D — Audit, analyse financière &amp; reporting</t>
  </si>
  <si>
    <t xml:space="preserve">Titre professionnel recommandé</t>
  </si>
  <si>
    <t xml:space="preserve">Élève ingénieure en génie financier — Data Science &amp; IA appliquées à la finance | Stage PFE 4 mois (févr.–mai 2027)</t>
  </si>
  <si>
    <t xml:space="preserve">Élève ingénieure en génie financier — FP&amp;A &amp; contrôle de gestion | Stage PFE 4 mois (févr.–mai 2027)</t>
  </si>
  <si>
    <t xml:space="preserve">Élève ingénieure en génie financier (Actuariat &amp; Finance) — Risque de crédit &amp; modélisation | Stage PFE 4 mois</t>
  </si>
  <si>
    <t xml:space="preserve">Élève ingénieure en génie financier — Analyse financière, audit &amp; reporting | Stage PFE 4 mois (févr.–mai 2027)</t>
  </si>
  <si>
    <t xml:space="preserve">Compétences à mettre en avant</t>
  </si>
  <si>
    <t xml:space="preserve">Python (pandas, scikit-learn, XGBoost, SHAP, PyMC), machine learning, prévision de séries temporelles (ARIMA → XGBoost), statistiques, R, Streamlit, Git/GitHub, tests pytest</t>
  </si>
  <si>
    <t xml:space="preserve">FP&amp;A, contrôle de gestion, analyse des écarts budgétaires, reporting financier, modélisation financière, Excel avancé, Power BI, prévision du CA</t>
  </si>
  <si>
    <t xml:space="preserve">Gestion des risques financiers, credit scoring (ML), évaluation d'options Monte Carlo / LSMC, optimisation de portefeuille, statistiques, Python, R ; formation Actuariat &amp; Finance</t>
  </si>
  <si>
    <t xml:space="preserve">Analyse financière (ratios, structure financière), comptabilité générale, audit interne, contrôle interne, reporting, Excel avancé, Power BI ; documents fiscaux et juridiques</t>
  </si>
  <si>
    <t xml:space="preserve">Projets et expériences pertinents (ordre conseillé)</t>
  </si>
  <si>
    <t xml:space="preserve">1) Expleo : pipeline de prévision XGBoost, MAPE de 5,26 % à 2,39 %, SHAP, 33 tests pytest, Streamlit
2) Credit scoring par ML
3) Monte Carlo LSMC + PyPortfolioOpt
4) Lien GitHub en en-tête</t>
  </si>
  <si>
    <t xml:space="preserve">1) Expleo : tableau de bord Budget vs Réalisé, analyse des écarts, prévisions, export Power BI
2) Montage financier (CAPEX, BFR, VAN, TRI, WACC, DSCR, stress tests)
3) Analyse financière d'entreprises
4) Cabinet BRIMOU (comptabilité)</t>
  </si>
  <si>
    <t xml:space="preserve">1) Credit scoring par ML
2) Expleo : modèle prédictif et interprétabilité SHAP
3) LSMC + optimisation de portefeuille
4) Montage financier : DSCR, dette/EBITDA, stress tests
5) Certifications UIUC Financial Investments &amp; Risk Management, RiskWise</t>
  </si>
  <si>
    <t xml:space="preserve">1) Cabinet BRIMOU : comptabilité générale, constitution de sociétés
2) Analyse financière d'entreprises (ratios, risques, recommandations)
3) Expleo : reporting et analyse des écarts
4) DGI Tanger : dossiers fiscaux
5) Managerial Accounting (UVA)</t>
  </si>
  <si>
    <t xml:space="preserve">Mots-clés ATS à intégrer</t>
  </si>
  <si>
    <t xml:space="preserve">machine learning, data science, Python, XGBoost, SHAP, prévision, séries temporelles, modèle prédictif, pipeline de données, Streamlit, Power BI, intelligence artificielle, MAPE</t>
  </si>
  <si>
    <t xml:space="preserve">FP&amp;A, contrôle de gestion, budget, forecast, Budget vs Réalisé, analyse des écarts, reporting mensuel, KPI, tableau de bord, Power BI, Excel avancé, BFR, rentabilité</t>
  </si>
  <si>
    <t xml:space="preserve">risque de crédit, credit scoring, probabilité de défaut, modélisation, gestion des risques, actuariat, Monte Carlo, stress test, DSCR, Python, R, statistiques, assurance</t>
  </si>
  <si>
    <t xml:space="preserve">audit, analyse financière, états financiers, ratios, comptabilité générale, contrôle interne, reporting financier, révision des comptes, fiscalité, Excel, Power BI</t>
  </si>
  <si>
    <t xml:space="preserve">Éléments à réduire ou reformuler</t>
  </si>
  <si>
    <t xml:space="preserve">Réduire DGI (une ligne) et la marque cosmétique (à retirer). Remplacer « gestion de projet, leadership » par des preuves chiffrées. Le niveau d'anglais (intermédiaire) reste tel quel : ne pas le surévaluer.</t>
  </si>
  <si>
    <t xml:space="preserve">Réduire Monte Carlo / LSMC et PyMC (trop techniques). Reformuler Expleo en partant des résultats métier (fiabilité du forecast, aide au budget) plutôt que des outils.</t>
  </si>
  <si>
    <t xml:space="preserve">Réduire la marque cosmétique et la DGI. Préciser le contenu du projet de credit scoring (données, modèle, métrique) s'il est documenté. IFRS 17 et Solvabilité ne figurent pas dans votre CV : ne pas les citer comme compétences.</t>
  </si>
  <si>
    <t xml:space="preserve">Réduire PyMC, PyPortfolioOpt et le détail ML. Développer BRIMOU et la DGI en tâches concrètes. Le stage Expleo devient « reporting financier et analyse des écarts ».</t>
  </si>
  <si>
    <t xml:space="preserve">Entreprises et postes à cibler</t>
  </si>
  <si>
    <t xml:space="preserve">Coface DataLab, RMA (data), Renault (supply chain data), Expleo, OPmobility, TRIGO — stage data analyst / data scientist finance</t>
  </si>
  <si>
    <t xml:space="preserve">Expleo, TE Connectivity, Renault Tanger, Valeo, Tanger Med, APM Terminals, Saham Bank, Orhan, Yazaki — stage contrôle de gestion / FP&amp;A</t>
  </si>
  <si>
    <t xml:space="preserve">Banque Populaire, Crédit du Maroc, Attijariwafa, Coface (risque crédit), AXA, Wafa Assurance, Allianz, Sanlam, AtlantaSanad — stage risque, crédit ou actuariat</t>
  </si>
  <si>
    <t xml:space="preserve">Forvis Mazars, Deloitte, KPMG, BDO, EY, PwC ; audit interne des grands groupes — stage auditeur financier / analyste financier</t>
  </si>
  <si>
    <t xml:space="preserve">Règles communes</t>
  </si>
  <si>
    <t xml:space="preserve">• 1 page, format .docx et PDF ; nom du fichier : CV_FZ_Chakib_PFE2027_[A-D].pdf</t>
  </si>
  <si>
    <t xml:space="preserve">• En-tête : « Stage PFE 4 mois — 01/02/2027 au 31/05/2027 — ouverte à une pré-embauche »</t>
  </si>
  <si>
    <t xml:space="preserve">• Commencer chaque puce par un verbe d'action et un résultat chiffré (ex. MAPE 5,26 % → 2,39 %).</t>
  </si>
  <si>
    <t xml:space="preserve">• Lien GitHub (github.com/Fatimachakib26) obligatoire sur CV A et CV C ; mettre le projet Expleo en dépôt public si la confidentialité le permet.</t>
  </si>
  <si>
    <t xml:space="preserve">• Adapter l'objet du mail au format demandé par chaque entreprise (ex. Sanlam : Spécialité_Durée_Disponibilité).</t>
  </si>
  <si>
    <t xml:space="preserve">Contacts et liens utiles</t>
  </si>
  <si>
    <t xml:space="preserve">Uniquement des coordonnées publiées dans une source citée. Aucun nom de recruteur n'a été trouvé publiquement : utiliser LinkedIn (recherche « Talent Acquisition [Entreprise] Maroc »). Les e-mails datés sont à reconfirmer avant envoi.</t>
  </si>
  <si>
    <t xml:space="preserve">Entreprise / plateforme</t>
  </si>
  <si>
    <t xml:space="preserve">Type</t>
  </si>
  <si>
    <t xml:space="preserve">Contact / e-mail publié</t>
  </si>
  <si>
    <t xml:space="preserve">Lien</t>
  </si>
  <si>
    <t xml:space="preserve">Source &amp; date</t>
  </si>
  <si>
    <t xml:space="preserve">Fiabilité</t>
  </si>
  <si>
    <t xml:space="preserve">E-mail candidature</t>
  </si>
  <si>
    <t xml:space="preserve">jobs@coface.com</t>
  </si>
  <si>
    <t xml:space="preserve">https://www.coface.com</t>
  </si>
  <si>
    <t xml:space="preserve">Dreamjob.ma — campagne PFE ~2024</t>
  </si>
  <si>
    <t xml:space="preserve">À reconfirmer</t>
  </si>
  <si>
    <t xml:space="preserve">recrutement.maroc@allianz.com</t>
  </si>
  <si>
    <t xml:space="preserve">https://www.allianz.ma</t>
  </si>
  <si>
    <t xml:space="preserve">Dreamjob.ma — 07/04/2023</t>
  </si>
  <si>
    <t xml:space="preserve">recrutement@sanlam.ma</t>
  </si>
  <si>
    <t xml:space="preserve">https://www.sanlam.ma</t>
  </si>
  <si>
    <t xml:space="preserve">Dreamjob.ma — 06/2023 (2025 : adresse masquée)</t>
  </si>
  <si>
    <t xml:space="preserve">Coface Maroc (bureau)</t>
  </si>
  <si>
    <t xml:space="preserve">Adresse</t>
  </si>
  <si>
    <t xml:space="preserve">225 bd d'Anfa, 20250 Casablanca</t>
  </si>
  <si>
    <t xml:space="preserve">Annonce DataLab Coface</t>
  </si>
  <si>
    <t xml:space="preserve">Publiée</t>
  </si>
  <si>
    <t xml:space="preserve">Portail officiel</t>
  </si>
  <si>
    <t xml:space="preserve">https://careers.te.com</t>
  </si>
  <si>
    <t xml:space="preserve">Recherche web 10/2026</t>
  </si>
  <si>
    <t xml:space="preserve">Officiel</t>
  </si>
  <si>
    <t xml:space="preserve">KPMG Afrique / Maroc</t>
  </si>
  <si>
    <t xml:space="preserve">https://emplois-afrique.kpmg.com/stage-alternance-maroc</t>
  </si>
  <si>
    <t xml:space="preserve">Site officiel</t>
  </si>
  <si>
    <t xml:space="preserve">https://www.creditdumaroc.ma</t>
  </si>
  <si>
    <t xml:space="preserve">Rapports financiers 2026</t>
  </si>
  <si>
    <t xml:space="preserve">Expleo</t>
  </si>
  <si>
    <t xml:space="preserve">Portail carrières</t>
  </si>
  <si>
    <t xml:space="preserve">Site du groupe</t>
  </si>
  <si>
    <t xml:space="preserve">Renault Group</t>
  </si>
  <si>
    <t xml:space="preserve">https://www.renaultgroup.com</t>
  </si>
  <si>
    <t xml:space="preserve">Rubrique Carrières / Talents</t>
  </si>
  <si>
    <t xml:space="preserve">https://www.valeo.com</t>
  </si>
  <si>
    <t xml:space="preserve">Rubrique Carrières</t>
  </si>
  <si>
    <t xml:space="preserve">https://www.tangermed.ma</t>
  </si>
  <si>
    <t xml:space="preserve">APM Terminals</t>
  </si>
  <si>
    <t xml:space="preserve">https://www.apmterminals.com</t>
  </si>
  <si>
    <t xml:space="preserve">Rubrique Careers</t>
  </si>
  <si>
    <t xml:space="preserve">OPmobility</t>
  </si>
  <si>
    <t xml:space="preserve">https://www.opmobility.com</t>
  </si>
  <si>
    <t xml:space="preserve">https://www.sahambank.com</t>
  </si>
  <si>
    <t xml:space="preserve">Groupe Banque Populaire</t>
  </si>
  <si>
    <t xml:space="preserve">https://www.groupebcp.com</t>
  </si>
  <si>
    <t xml:space="preserve">https://www.wafaassurance.ma</t>
  </si>
  <si>
    <t xml:space="preserve">AXA Maroc</t>
  </si>
  <si>
    <t xml:space="preserve">https://www.axa.ma</t>
  </si>
  <si>
    <t xml:space="preserve">https://www.rmaassurance.com</t>
  </si>
  <si>
    <t xml:space="preserve">Forvis Mazars</t>
  </si>
  <si>
    <t xml:space="preserve">https://www.forvismazars.com</t>
  </si>
  <si>
    <t xml:space="preserve">Rubrique Carrières Maroc</t>
  </si>
  <si>
    <t xml:space="preserve">ReKrute</t>
  </si>
  <si>
    <t xml:space="preserve">Plateforme d'emploi</t>
  </si>
  <si>
    <t xml:space="preserve">Alertes : « stage PFE finance », « data », « actuariat »</t>
  </si>
  <si>
    <t xml:space="preserve">https://www.rekrute.com</t>
  </si>
  <si>
    <t xml:space="preserve">Plateforme</t>
  </si>
  <si>
    <t xml:space="preserve">Dreamjob.ma</t>
  </si>
  <si>
    <t xml:space="preserve">Agrégateur</t>
  </si>
  <si>
    <t xml:space="preserve">Rubrique Stages : campagnes PFE</t>
  </si>
  <si>
    <t xml:space="preserve">https://www.dreamjob.ma/stage/</t>
  </si>
  <si>
    <t xml:space="preserve">Agrégateur (vérifier à la source)</t>
  </si>
  <si>
    <t xml:space="preserve">Indeed Maroc</t>
  </si>
  <si>
    <t xml:space="preserve">Recherche « Stage Finance » Tanger</t>
  </si>
  <si>
    <t xml:space="preserve">iAgora</t>
  </si>
  <si>
    <t xml:space="preserve">Plateforme de stages</t>
  </si>
  <si>
    <t xml:space="preserve">Stages Maroc (Renault Tanger, etc.)</t>
  </si>
  <si>
    <t xml:space="preserve">https://www.iagora.com/work/fr/stages-et-emplois/maroc</t>
  </si>
  <si>
    <t xml:space="preserve">Africarrières</t>
  </si>
  <si>
    <t xml:space="preserve">Offres « fiables » vérifiées</t>
  </si>
  <si>
    <t xml:space="preserve">https://africarrieres.com/maroc/fr</t>
  </si>
  <si>
    <t xml:space="preserve">Jobsquare</t>
  </si>
  <si>
    <t xml:space="preserve">Offres Tanger</t>
  </si>
  <si>
    <t xml:space="preserve">https://www.jobsquare.ma</t>
  </si>
  <si>
    <t xml:space="preserve">LinkedIn</t>
  </si>
  <si>
    <t xml:space="preserve">Réseau</t>
  </si>
  <si>
    <t xml:space="preserve">Alertes « PFE » + Tanger ; contacter Talent Acquisition</t>
  </si>
  <si>
    <t xml:space="preserve">https://www.linkedin.com/jobs/</t>
  </si>
  <si>
    <t xml:space="preserve">Groupe BCP — portail candidatures</t>
  </si>
  <si>
    <t xml:space="preserve">Stage PFE 2027 (Bac+5)</t>
  </si>
  <si>
    <t xml:space="preserve">Lien transmis par vous ; Alwadifa 01/08/2026</t>
  </si>
  <si>
    <t xml:space="preserve">Crédit du Maroc — portail carrières</t>
  </si>
  <si>
    <t xml:space="preserve">Offres de stage PFE</t>
  </si>
  <si>
    <t xml:space="preserve">https://carriere.creditdumaroc.ma</t>
  </si>
  <si>
    <t xml:space="preserve">Lien transmis par vous</t>
  </si>
  <si>
    <t xml:space="preserve">PFE Daba</t>
  </si>
  <si>
    <t xml:space="preserve">Agrégateur PFE</t>
  </si>
  <si>
    <t xml:space="preserve">Stages PFE par ville et domaine</t>
  </si>
  <si>
    <t xml:space="preserve">https://pfedaba.ma</t>
  </si>
  <si>
    <t xml:space="preserve">RMA — Tanger Assurances Conseil</t>
  </si>
  <si>
    <t xml:space="preserve">Agence locale</t>
  </si>
  <si>
    <t xml:space="preserve">Place des Nations, 16 rue Antaki, Tanger</t>
  </si>
  <si>
    <t xml:space="preserve">Liste transmise par vous (carte)</t>
  </si>
  <si>
    <t xml:space="preserve">Sanlam Assurance — Tanger</t>
  </si>
  <si>
    <t xml:space="preserve">1, avenue Moulay Ismaïl, Tanger</t>
  </si>
  <si>
    <t xml:space="preserve">Bleu Assurances</t>
  </si>
  <si>
    <t xml:space="preserve">Route de Rabat, Tanger</t>
  </si>
  <si>
    <t xml:space="preserve">AXA Assurance Maroc — Fatmi Alaoui Assurances</t>
  </si>
  <si>
    <t xml:space="preserve">Secteur Tanja El Balia, Tanger</t>
  </si>
  <si>
    <t xml:space="preserve">EMSI Tanger</t>
  </si>
  <si>
    <t xml:space="preserve">Relations entreprises</t>
  </si>
  <si>
    <t xml:space="preserve">Service stages / carrières de votre école</t>
  </si>
  <si>
    <t xml:space="preserve">Votre école</t>
  </si>
  <si>
    <t xml:space="preserve">À demander</t>
  </si>
  <si>
    <t xml:space="preserve">Plan d'action — novembre 2026 → février 2027</t>
  </si>
  <si>
    <t xml:space="preserve">Les campagnes de PFE des banques et des cabinets d'audit ouvrent en automne ; celles de l'industrie (Renault) vers février. Votre PFE démarre le 01/02/2027.</t>
  </si>
  <si>
    <t xml:space="preserve">Période</t>
  </si>
  <si>
    <t xml:space="preserve">Action</t>
  </si>
  <si>
    <t xml:space="preserve">Cibles</t>
  </si>
  <si>
    <t xml:space="preserve">Fait ?</t>
  </si>
  <si>
    <t xml:space="preserve">Semaine du 02/11/2026</t>
  </si>
  <si>
    <t xml:space="preserve">Postuler aux 3 offres ouvertes : Banque Populaire PFE 2027, DataLab Coface (pré-embauche) et Forvis Mazars (janvier 2027).</t>
  </si>
  <si>
    <t xml:space="preserve">BCP, Coface, Forvis Mazars</t>
  </si>
  <si>
    <t xml:space="preserve">Vérifier sur carriere.creditdumaroc.ma l'offre « PFE Analyste d'affaires – Tanger/Tétouan » et postuler.</t>
  </si>
  <si>
    <t xml:space="preserve">Écrire à votre ex-tuteur Expleo : proposer la suite du projet de prévision comme PFE et demander une recommandation.</t>
  </si>
  <si>
    <t xml:space="preserve">Semaine du 09/11/2026</t>
  </si>
  <si>
    <t xml:space="preserve">Vérifier l'ouverture des campagnes PFE 2027 (Deloitte, KPMG, BDO, Saham Bank, Crédit du Maroc, Banque Populaire).</t>
  </si>
  <si>
    <t xml:space="preserve">Audit &amp; banques</t>
  </si>
  <si>
    <t xml:space="preserve">Novembre 2026</t>
  </si>
  <si>
    <t xml:space="preserve">Finaliser les CV A, B, C et D ; mettre à jour LinkedIn (titre, compétences, projets) ; créer des alertes sur ReKrute, LinkedIn, Indeed et careers.te.com.</t>
  </si>
  <si>
    <t xml:space="preserve">Toutes</t>
  </si>
  <si>
    <t xml:space="preserve">Envoyer les candidatures spontanées aux entreprises de Tanger.</t>
  </si>
  <si>
    <t xml:space="preserve">Tanger Med, TE, Valeo, APM, OPmobility, Yazaki</t>
  </si>
  <si>
    <t xml:space="preserve">Décembre 2026</t>
  </si>
  <si>
    <t xml:space="preserve">Candidatures spontanées en assurance et actuariat (CV C), en proposant un sujet précis ; déposer aussi un CV dans les agences de Tanger (feuille Contacts).</t>
  </si>
  <si>
    <t xml:space="preserve">Wafa, AXA, Allianz, Sanlam, RMA, AtlantaSanad</t>
  </si>
  <si>
    <t xml:space="preserve">Tous les 10 jours</t>
  </si>
  <si>
    <t xml:space="preserve">Relancer les candidatures sans réponse (la colonne « Date de relance » passe au rouge à l'échéance).</t>
  </si>
  <si>
    <t xml:space="preserve">Janvier – février 2027</t>
  </si>
  <si>
    <t xml:space="preserve">Surveiller la campagne PFE de Renault Group (Tanger) et postuler dès l'ouverture.</t>
  </si>
  <si>
    <t xml:space="preserve">Renault</t>
  </si>
  <si>
    <t xml:space="preserve">À chaque entretien</t>
  </si>
  <si>
    <t xml:space="preserve">Demander : existe-t-il un recrutement à l'issue du PFE ? Quels critères ? Combien de stagiaires ont été embauchés l'an dernier ? Noter les réponses dans la colonne S.</t>
  </si>
  <si>
    <t xml:space="preserve">Avant le 01/02/2027</t>
  </si>
  <si>
    <t xml:space="preserve">Signer la convention de stage EMSI et confirmer les dates (4 mois).</t>
  </si>
  <si>
    <t xml:space="preserve">Entreprise retenue</t>
  </si>
  <si>
    <t xml:space="preserve">Sources consultées (recherche du 29/10/2026)</t>
  </si>
  <si>
    <t xml:space="preserve">Les agrégateurs (Dreamjob, Bghit-nekhdem, iAgora) relaient des offres : il faut toujours confirmer l'offre sur le site de l'entreprise.</t>
  </si>
  <si>
    <t xml:space="preserve">Sujet</t>
  </si>
  <si>
    <t xml:space="preserve">URL</t>
  </si>
  <si>
    <t xml:space="preserve">TE — Finance Development Program Tanger</t>
  </si>
  <si>
    <t xml:space="preserve">TE — FP&amp;A Analyst Tanger</t>
  </si>
  <si>
    <t xml:space="preserve">https://m.naukrigulf.com/fp-a-analyst-jobs-in-tangier-morocco-in-te-connectivity-ltd-6-to-11-years-n-cd-10003114-jid-311025500502</t>
  </si>
  <si>
    <t xml:space="preserve">Renault — stages Tanger &amp; Casablanca</t>
  </si>
  <si>
    <t xml:space="preserve">https://www.dreamjob.ma/stage/stages-renault-group-nombreuses-opportunites-a-tanger-et-casablanca/</t>
  </si>
  <si>
    <t xml:space="preserve">Renault — campagne PFE 2026</t>
  </si>
  <si>
    <t xml:space="preserve">https://www.dreamjob.ma/stage/campagne-de-stages-pfe-2026-chez-renault-group-maroc/</t>
  </si>
  <si>
    <t xml:space="preserve">Renault — Graduate Program</t>
  </si>
  <si>
    <t xml:space="preserve">https://www.dreamjob.ma/emploi/renault-group-lance-son-graduate-program-pour-les-jeunes-ingenieurs-a-casablanca-et-tanger/</t>
  </si>
  <si>
    <t xml:space="preserve">Renault Tanger — offres iAgora</t>
  </si>
  <si>
    <t xml:space="preserve">Valeo Maroc — Indeed</t>
  </si>
  <si>
    <t xml:space="preserve">Expleo — offres Tanger</t>
  </si>
  <si>
    <t xml:space="preserve">https://www.dreamjob.ma/emploi/consultants-sap-experimentes-recherches-par-expleo-group-a-tanger/</t>
  </si>
  <si>
    <t xml:space="preserve">Tanger Med — candidature spontanée</t>
  </si>
  <si>
    <t xml:space="preserve">APM Terminals Tanger — stages</t>
  </si>
  <si>
    <t xml:space="preserve">Orhan Automotive — stages Tanger</t>
  </si>
  <si>
    <t xml:space="preserve">OPmobility — Indeed</t>
  </si>
  <si>
    <t xml:space="preserve">Coface — stages Data &amp; IA (26/10/2026)</t>
  </si>
  <si>
    <t xml:space="preserve">Coface — stagiaires PFE</t>
  </si>
  <si>
    <t xml:space="preserve">Coface — Analyste sinistres (ReKrute)</t>
  </si>
  <si>
    <t xml:space="preserve">https://www.rekrute.com/offre-emploi-analyste-sinistres-_anapec_-recrutement-coface-casablanca-186685.html</t>
  </si>
  <si>
    <t xml:space="preserve">Saham Bank — PFE 2026 Finance/Audit</t>
  </si>
  <si>
    <t xml:space="preserve">Crédit du Maroc — campagne PFE 2025/2026</t>
  </si>
  <si>
    <t xml:space="preserve">https://bghit-nekhdem.com/credit-du-maroc-lance-sa-campagne-pfe-2025-2026-au-maroc/</t>
  </si>
  <si>
    <t xml:space="preserve">Crédit du Maroc — résultats S1 2026</t>
  </si>
  <si>
    <t xml:space="preserve">https://www.creditdumaroc.ma/sites/default/files/rapport_financier_semestriel_resultats_financiers_au_30_juin_2026.pdf</t>
  </si>
  <si>
    <t xml:space="preserve">Banque Populaire — PFE</t>
  </si>
  <si>
    <t xml:space="preserve">https://www.dreamjob.ma/stage/108-offres-de-stages-pfe-chez-banque-populaire/</t>
  </si>
  <si>
    <t xml:space="preserve">Saham Bank — contexte IFC 2026</t>
  </si>
  <si>
    <t xml:space="preserve">https://en.7news.ma/?p=18881</t>
  </si>
  <si>
    <t xml:space="preserve">Attijariwafa — cadre de provisionnement 2027</t>
  </si>
  <si>
    <t xml:space="preserve">https://lematin.ma/economie/attijariwafa-bank-titre-a-acheter-bmce-capital/367005</t>
  </si>
  <si>
    <t xml:space="preserve">AXA Assurance — stagiaires</t>
  </si>
  <si>
    <t xml:space="preserve">Wafa Assurance — finance, data, IT</t>
  </si>
  <si>
    <t xml:space="preserve">RMA — opportunités</t>
  </si>
  <si>
    <t xml:space="preserve">Sanlam — campagne PFE 2025</t>
  </si>
  <si>
    <t xml:space="preserve">Allianz — PFE actuariat</t>
  </si>
  <si>
    <t xml:space="preserve">Forvis Mazars / stages finance — Indeed</t>
  </si>
  <si>
    <t xml:space="preserve">KPMG — Auditeur PFE</t>
  </si>
  <si>
    <t xml:space="preserve">Deloitte — campagne audit PFE 2026</t>
  </si>
  <si>
    <t xml:space="preserve">PwC — PFE Tax</t>
  </si>
  <si>
    <t xml:space="preserve">BDO — PFE audit</t>
  </si>
  <si>
    <t xml:space="preserve">EY Maroc — profil</t>
  </si>
  <si>
    <t xml:space="preserve">https://telquel.ma/2026/04/10/cabinets-daudit-ey-maroc-le-big-four-discret_1983792</t>
  </si>
  <si>
    <t xml:space="preserve">BCP — PFE 2027 (Alwadifa)</t>
  </si>
  <si>
    <t xml:space="preserve">https://alwadifa-maroc.com/offre/show/id/23355</t>
  </si>
  <si>
    <t xml:space="preserve">Coface — DataLab PFE 2026/2027 pré-embauche</t>
  </si>
  <si>
    <t xml:space="preserve">https://africarrieres.com/ghana/en/emplois/stages-pfe-20262027-datalab-pre-embauche</t>
  </si>
  <si>
    <t xml:space="preserve">Coface — offres Indeed Maroc</t>
  </si>
  <si>
    <t xml:space="preserve">https://ma.indeed.com/cmp/Coface/jobs</t>
  </si>
  <si>
    <t xml:space="preserve">TI Fluid Systems Tanger</t>
  </si>
</sst>
</file>

<file path=xl/styles.xml><?xml version="1.0" encoding="utf-8"?>
<styleSheet xmlns="http://schemas.openxmlformats.org/spreadsheetml/2006/main">
  <numFmts count="6">
    <numFmt numFmtId="164" formatCode="General"/>
    <numFmt numFmtId="165" formatCode="dd/mm/yyyy"/>
    <numFmt numFmtId="166" formatCode="0"/>
    <numFmt numFmtId="167" formatCode="General"/>
    <numFmt numFmtId="168" formatCode="0.0%"/>
    <numFmt numFmtId="169" formatCode="0%"/>
  </numFmts>
  <fonts count="21">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334155"/>
      <name val="Arial"/>
      <family val="0"/>
      <charset val="1"/>
    </font>
    <font>
      <b val="true"/>
      <sz val="9"/>
      <color rgb="FF334155"/>
      <name val="Arial"/>
      <family val="0"/>
      <charset val="1"/>
    </font>
    <font>
      <b val="true"/>
      <sz val="10"/>
      <color rgb="FFFFFFFF"/>
      <name val="Arial"/>
      <family val="0"/>
      <charset val="1"/>
    </font>
    <font>
      <b val="true"/>
      <sz val="10"/>
      <name val="Arial"/>
      <family val="0"/>
      <charset val="1"/>
    </font>
    <font>
      <sz val="10"/>
      <name val="Arial"/>
      <family val="0"/>
      <charset val="1"/>
    </font>
    <font>
      <u val="single"/>
      <sz val="10"/>
      <color rgb="FF1D4ED8"/>
      <name val="Arial"/>
      <family val="0"/>
      <charset val="1"/>
    </font>
    <font>
      <sz val="10"/>
      <name val="Arial"/>
      <family val="2"/>
    </font>
    <font>
      <b val="true"/>
      <sz val="11"/>
      <color rgb="FF0F172A"/>
      <name val="Arial"/>
      <family val="0"/>
      <charset val="1"/>
    </font>
    <font>
      <b val="true"/>
      <sz val="18"/>
      <color rgb="FFFFFFFF"/>
      <name val="Arial"/>
      <family val="0"/>
      <charset val="1"/>
    </font>
    <font>
      <i val="true"/>
      <sz val="8"/>
      <color rgb="FF64748B"/>
      <name val="Arial"/>
      <family val="0"/>
      <charset val="1"/>
    </font>
    <font>
      <b val="true"/>
      <sz val="10"/>
      <color rgb="FF0000FF"/>
      <name val="Arial"/>
      <family val="0"/>
      <charset val="1"/>
    </font>
    <font>
      <b val="true"/>
      <sz val="18"/>
      <color rgb="FF000000"/>
      <name val="Calibri"/>
      <family val="2"/>
    </font>
    <font>
      <sz val="10"/>
      <color rgb="FF000000"/>
      <name val="Calibri"/>
      <family val="2"/>
    </font>
    <font>
      <b val="true"/>
      <sz val="10"/>
      <color rgb="FF0F172A"/>
      <name val="Arial"/>
      <family val="0"/>
      <charset val="1"/>
    </font>
    <font>
      <sz val="10"/>
      <color rgb="FF000000"/>
      <name val="Arial"/>
      <family val="0"/>
      <charset val="1"/>
    </font>
    <font>
      <b val="true"/>
      <sz val="11"/>
      <color rgb="FF0F766E"/>
      <name val="Arial"/>
      <family val="0"/>
      <charset val="1"/>
    </font>
  </fonts>
  <fills count="16">
    <fill>
      <patternFill patternType="none"/>
    </fill>
    <fill>
      <patternFill patternType="gray125"/>
    </fill>
    <fill>
      <patternFill patternType="solid">
        <fgColor rgb="FF1F3A5F"/>
        <bgColor rgb="FF334155"/>
      </patternFill>
    </fill>
    <fill>
      <patternFill patternType="solid">
        <fgColor rgb="FFE2E8F0"/>
        <bgColor rgb="FFE5E7EB"/>
      </patternFill>
    </fill>
    <fill>
      <patternFill patternType="solid">
        <fgColor rgb="FFF8FAFC"/>
        <bgColor rgb="FFF9F9F9"/>
      </patternFill>
    </fill>
    <fill>
      <patternFill patternType="solid">
        <fgColor rgb="FF0F766E"/>
        <bgColor rgb="FF15803D"/>
      </patternFill>
    </fill>
    <fill>
      <patternFill patternType="solid">
        <fgColor rgb="FFF1F5F9"/>
        <bgColor rgb="FFF9F9F9"/>
      </patternFill>
    </fill>
    <fill>
      <patternFill patternType="solid">
        <fgColor rgb="FF334155"/>
        <bgColor rgb="FF1F3A5F"/>
      </patternFill>
    </fill>
    <fill>
      <patternFill patternType="solid">
        <fgColor rgb="FF16A34A"/>
        <bgColor rgb="FF15803D"/>
      </patternFill>
    </fill>
    <fill>
      <patternFill patternType="solid">
        <fgColor rgb="FF2563EB"/>
        <bgColor rgb="FF1D4ED8"/>
      </patternFill>
    </fill>
    <fill>
      <patternFill patternType="solid">
        <fgColor rgb="FFEA580C"/>
        <bgColor rgb="FFB45309"/>
      </patternFill>
    </fill>
    <fill>
      <patternFill patternType="solid">
        <fgColor rgb="FF7C3AED"/>
        <bgColor rgb="FF581C87"/>
      </patternFill>
    </fill>
    <fill>
      <patternFill patternType="solid">
        <fgColor rgb="FF15803D"/>
        <bgColor rgb="FF0F766E"/>
      </patternFill>
    </fill>
    <fill>
      <patternFill patternType="solid">
        <fgColor rgb="FF14532D"/>
        <bgColor rgb="FF166534"/>
      </patternFill>
    </fill>
    <fill>
      <patternFill patternType="solid">
        <fgColor rgb="FFFEF9C3"/>
        <bgColor rgb="FFFEFCE8"/>
      </patternFill>
    </fill>
    <fill>
      <patternFill patternType="solid">
        <fgColor rgb="FFB45309"/>
        <bgColor rgb="FF9A3412"/>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3" borderId="0" xfId="0" applyFont="true" applyBorder="true" applyAlignment="true" applyProtection="false">
      <alignment horizontal="general" vertical="center" textRotation="0" wrapText="true" indent="1"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center"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general" vertical="center" textRotation="0" wrapText="true" indent="1" shrinkToFit="false"/>
      <protection locked="true" hidden="false"/>
    </xf>
    <xf numFmtId="166" fontId="13"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center" vertical="center" textRotation="0" wrapText="true" indent="0" shrinkToFit="false"/>
      <protection locked="true" hidden="false"/>
    </xf>
    <xf numFmtId="166" fontId="13" fillId="7" borderId="1" xfId="0" applyFont="true" applyBorder="true" applyAlignment="true" applyProtection="false">
      <alignment horizontal="center" vertical="center" textRotation="0" wrapText="true" indent="0" shrinkToFit="false"/>
      <protection locked="true" hidden="false"/>
    </xf>
    <xf numFmtId="166" fontId="13" fillId="8" borderId="1" xfId="0" applyFont="true" applyBorder="true" applyAlignment="true" applyProtection="false">
      <alignment horizontal="center" vertical="center" textRotation="0" wrapText="true" indent="0" shrinkToFit="false"/>
      <protection locked="true" hidden="false"/>
    </xf>
    <xf numFmtId="166" fontId="13" fillId="9" borderId="1" xfId="0" applyFont="true" applyBorder="true" applyAlignment="true" applyProtection="false">
      <alignment horizontal="center" vertical="center" textRotation="0" wrapText="true" indent="0" shrinkToFit="false"/>
      <protection locked="true" hidden="false"/>
    </xf>
    <xf numFmtId="166" fontId="13" fillId="10" borderId="1" xfId="0" applyFont="true" applyBorder="true" applyAlignment="true" applyProtection="false">
      <alignment horizontal="center" vertical="center" textRotation="0" wrapText="true" indent="0" shrinkToFit="false"/>
      <protection locked="true" hidden="false"/>
    </xf>
    <xf numFmtId="166" fontId="13" fillId="11" borderId="1" xfId="0" applyFont="true" applyBorder="true" applyAlignment="true" applyProtection="false">
      <alignment horizontal="center" vertical="center" textRotation="0" wrapText="true" indent="0" shrinkToFit="false"/>
      <protection locked="true" hidden="false"/>
    </xf>
    <xf numFmtId="166" fontId="13" fillId="12" borderId="1" xfId="0" applyFont="true" applyBorder="true" applyAlignment="true" applyProtection="false">
      <alignment horizontal="center" vertical="center" textRotation="0" wrapText="true" indent="0" shrinkToFit="false"/>
      <protection locked="true" hidden="false"/>
    </xf>
    <xf numFmtId="166" fontId="13" fillId="13" borderId="1" xfId="0" applyFont="true" applyBorder="true" applyAlignment="true" applyProtection="false">
      <alignment horizontal="center" vertical="center" textRotation="0" wrapText="true" indent="0" shrinkToFit="false"/>
      <protection locked="true" hidden="false"/>
    </xf>
    <xf numFmtId="168" fontId="13" fillId="5"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5" fillId="14" borderId="0" xfId="0" applyFont="true" applyBorder="false" applyAlignment="true" applyProtection="false">
      <alignment horizontal="center" vertical="center" textRotation="0" wrapText="true" indent="0" shrinkToFit="false"/>
      <protection locked="true" hidden="false"/>
    </xf>
    <xf numFmtId="167" fontId="9" fillId="0" borderId="1" xfId="0" applyFont="true" applyBorder="true" applyAlignment="true" applyProtection="false">
      <alignment horizontal="center" vertical="center" textRotation="0" wrapText="true" indent="0" shrinkToFit="false"/>
      <protection locked="true" hidden="false"/>
    </xf>
    <xf numFmtId="169" fontId="8" fillId="0" borderId="0" xfId="0" applyFont="true" applyBorder="false" applyAlignment="true" applyProtection="false">
      <alignment horizontal="center" vertical="center" textRotation="0" wrapText="true" indent="0" shrinkToFit="false"/>
      <protection locked="true" hidden="false"/>
    </xf>
    <xf numFmtId="164" fontId="7" fillId="11"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15" borderId="1"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general" vertical="top"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1F3A5F"/>
          <bgColor rgb="FF000000"/>
        </patternFill>
      </fill>
    </dxf>
    <dxf>
      <fill>
        <patternFill patternType="solid">
          <fgColor rgb="FFFEFCE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94A3B8"/>
          <bgColor rgb="FF000000"/>
        </patternFill>
      </fill>
    </dxf>
    <dxf>
      <fill>
        <patternFill patternType="solid">
          <fgColor rgb="FFDC2626"/>
          <bgColor rgb="FF000000"/>
        </patternFill>
      </fill>
    </dxf>
    <dxf>
      <fill>
        <patternFill patternType="solid">
          <fgColor rgb="FF1D4ED8"/>
          <bgColor rgb="FF000000"/>
        </patternFill>
      </fill>
    </dxf>
    <dxf>
      <fill>
        <patternFill patternType="solid">
          <fgColor rgb="FF16A34A"/>
          <bgColor rgb="FF000000"/>
        </patternFill>
      </fill>
    </dxf>
    <dxf>
      <font>
        <b val="1"/>
        <strike val="0"/>
        <color rgb="FF14532D"/>
      </font>
      <fill>
        <patternFill>
          <bgColor rgb="FF86EFAC"/>
        </patternFill>
      </fill>
    </dxf>
    <dxf>
      <font>
        <b val="1"/>
        <strike val="0"/>
        <color rgb="FF166534"/>
      </font>
      <fill>
        <patternFill>
          <bgColor rgb="FFBBF7D0"/>
        </patternFill>
      </fill>
    </dxf>
    <dxf>
      <font>
        <strike val="0"/>
        <color rgb="FF581C87"/>
      </font>
      <fill>
        <patternFill>
          <bgColor rgb="FFE9D5FF"/>
        </patternFill>
      </fill>
    </dxf>
    <dxf>
      <font>
        <strike val="0"/>
        <color rgb="FF9A3412"/>
      </font>
      <fill>
        <patternFill>
          <bgColor rgb="FFFED7AA"/>
        </patternFill>
      </fill>
    </dxf>
    <dxf>
      <font>
        <strike val="0"/>
        <color rgb="FF1E3A8A"/>
      </font>
      <fill>
        <patternFill>
          <bgColor rgb="FFDBEAFE"/>
        </patternFill>
      </fill>
    </dxf>
    <dxf>
      <font>
        <strike val="0"/>
        <color rgb="FF075985"/>
      </font>
      <fill>
        <patternFill>
          <bgColor rgb="FFE0F2FE"/>
        </patternFill>
      </fill>
    </dxf>
    <dxf>
      <font>
        <strike val="1"/>
        <color rgb="FF6B7280"/>
      </font>
      <fill>
        <patternFill>
          <bgColor rgb="FFE5E7EB"/>
        </patternFill>
      </fill>
    </dxf>
    <dxf>
      <font>
        <strike val="0"/>
        <color rgb="FF000000"/>
      </font>
      <fill>
        <patternFill>
          <bgColor rgb="FFFEFCE8"/>
        </patternFill>
      </fill>
    </dxf>
    <dxf>
      <font>
        <b val="1"/>
        <color rgb="FFFFFFFF"/>
      </font>
      <fill>
        <patternFill>
          <bgColor rgb="FFDC2626"/>
        </patternFill>
      </fill>
    </dxf>
    <dxf>
      <font>
        <b val="1"/>
        <color rgb="FF000000"/>
      </font>
      <fill>
        <patternFill>
          <bgColor rgb="FFF59E0B"/>
        </patternFill>
      </fill>
    </dxf>
    <dxf>
      <font>
        <b val="1"/>
        <color rgb="FFFFFFFF"/>
      </font>
      <fill>
        <patternFill>
          <bgColor rgb="FF94A3B8"/>
        </patternFill>
      </fill>
    </dxf>
    <dxf>
      <font>
        <b val="1"/>
        <color rgb="FFFFFFFF"/>
      </font>
      <fill>
        <patternFill>
          <bgColor rgb="FF16A34A"/>
        </patternFill>
      </fill>
    </dxf>
    <dxf>
      <fill>
        <patternFill>
          <bgColor rgb="FFBBF7D0"/>
        </patternFill>
      </fill>
    </dxf>
    <dxf>
      <fill>
        <patternFill>
          <bgColor rgb="FFFED7AA"/>
        </patternFill>
      </fill>
    </dxf>
    <dxf>
      <fill>
        <patternFill>
          <bgColor rgb="FFFEF9C3"/>
        </patternFill>
      </fill>
    </dxf>
    <dxf>
      <font>
        <strike val="1"/>
        <color rgb="FF166534"/>
      </font>
      <fill>
        <patternFill>
          <bgColor rgb="FFDCFCE7"/>
        </patternFill>
      </fill>
    </dxf>
  </dxfs>
  <colors>
    <indexedColors>
      <rgbColor rgb="FF000000"/>
      <rgbColor rgb="FFFFFFFF"/>
      <rgbColor rgb="FFDC2626"/>
      <rgbColor rgb="FF00FF00"/>
      <rgbColor rgb="FF0000FF"/>
      <rgbColor rgb="FFF9F9F9"/>
      <rgbColor rgb="FFFF00FF"/>
      <rgbColor rgb="FF00FFFF"/>
      <rgbColor rgb="FF800000"/>
      <rgbColor rgb="FF15803D"/>
      <rgbColor rgb="FF166534"/>
      <rgbColor rgb="FF6B7280"/>
      <rgbColor rgb="FF800080"/>
      <rgbColor rgb="FF0F766E"/>
      <rgbColor rgb="FFCBD5E1"/>
      <rgbColor rgb="FF878787"/>
      <rgbColor rgb="FFDBEAFE"/>
      <rgbColor rgb="FFB45309"/>
      <rgbColor rgb="FFFEF9C3"/>
      <rgbColor rgb="FFDCFCE7"/>
      <rgbColor rgb="FF581C87"/>
      <rgbColor rgb="FFF8FAFC"/>
      <rgbColor rgb="FF1D4ED8"/>
      <rgbColor rgb="FFC9D3E0"/>
      <rgbColor rgb="FF000080"/>
      <rgbColor rgb="FFFF00FF"/>
      <rgbColor rgb="FFE2E8F0"/>
      <rgbColor rgb="FF00FFFF"/>
      <rgbColor rgb="FF800080"/>
      <rgbColor rgb="FF800000"/>
      <rgbColor rgb="FF075985"/>
      <rgbColor rgb="FF0000FF"/>
      <rgbColor rgb="FF00CCFF"/>
      <rgbColor rgb="FFE0F2FE"/>
      <rgbColor rgb="FFBBF7D0"/>
      <rgbColor rgb="FFFEFCE8"/>
      <rgbColor rgb="FFD9D9D9"/>
      <rgbColor rgb="FFE5E7EB"/>
      <rgbColor rgb="FFE9D5FF"/>
      <rgbColor rgb="FFFED7AA"/>
      <rgbColor rgb="FF2563EB"/>
      <rgbColor rgb="FF86EFAC"/>
      <rgbColor rgb="FF99CC00"/>
      <rgbColor rgb="FFF1F5F9"/>
      <rgbColor rgb="FFF59E0B"/>
      <rgbColor rgb="FFEA580C"/>
      <rgbColor rgb="FF64748B"/>
      <rgbColor rgb="FF94A3B8"/>
      <rgbColor rgb="FF1F3A5F"/>
      <rgbColor rgb="FF16A34A"/>
      <rgbColor rgb="FF0F172A"/>
      <rgbColor rgb="FF14532D"/>
      <rgbColor rgb="FF9A3412"/>
      <rgbColor rgb="FF7C3AED"/>
      <rgbColor rgb="FF1E3A8A"/>
      <rgbColor rgb="FF3341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Candidatures par statut</a:t>
            </a:r>
          </a:p>
        </c:rich>
      </c:tx>
      <c:overlay val="0"/>
      <c:spPr>
        <a:noFill/>
        <a:ln w="0">
          <a:noFill/>
        </a:ln>
      </c:spPr>
    </c:title>
    <c:autoTitleDeleted val="0"/>
    <c:plotArea>
      <c:barChart>
        <c:barDir val="bar"/>
        <c:grouping val="clustered"/>
        <c:varyColors val="0"/>
        <c:ser>
          <c:idx val="0"/>
          <c:order val="0"/>
          <c:tx>
            <c:strRef>
              <c:f>'Tableau de bord'!F4</c:f>
              <c:strCache>
                <c:ptCount val="1"/>
                <c:pt idx="0">
                  <c:v>Nombre</c:v>
                </c:pt>
              </c:strCache>
            </c:strRef>
          </c:tx>
          <c:spPr>
            <a:solidFill>
              <a:srgbClr val="0f766e"/>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'Tableau de bord'!$E$5:$E$14</c:f>
              <c:strCache>
                <c:ptCount val="10"/>
                <c:pt idx="0">
                  <c:v>À vérifier</c:v>
                </c:pt>
                <c:pt idx="1">
                  <c:v>À contacter</c:v>
                </c:pt>
                <c:pt idx="2">
                  <c:v>À postuler</c:v>
                </c:pt>
                <c:pt idx="3">
                  <c:v>Candidature envoyée</c:v>
                </c:pt>
                <c:pt idx="4">
                  <c:v>Relance à faire</c:v>
                </c:pt>
                <c:pt idx="5">
                  <c:v>Entretien prévu</c:v>
                </c:pt>
                <c:pt idx="6">
                  <c:v>En attente</c:v>
                </c:pt>
                <c:pt idx="7">
                  <c:v>Refus</c:v>
                </c:pt>
                <c:pt idx="8">
                  <c:v>Stage obtenu</c:v>
                </c:pt>
                <c:pt idx="9">
                  <c:v>Pré-embauche confirmée</c:v>
                </c:pt>
              </c:strCache>
            </c:strRef>
          </c:cat>
          <c:val>
            <c:numRef>
              <c:f>'Tableau de bord'!$F$5:$F$14</c:f>
              <c:numCache>
                <c:formatCode>General</c:formatCode>
                <c:ptCount val="10"/>
                <c:pt idx="0">
                  <c:v>25</c:v>
                </c:pt>
                <c:pt idx="1">
                  <c:v>3</c:v>
                </c:pt>
                <c:pt idx="2">
                  <c:v>4</c:v>
                </c:pt>
                <c:pt idx="3">
                  <c:v>0</c:v>
                </c:pt>
                <c:pt idx="4">
                  <c:v>0</c:v>
                </c:pt>
                <c:pt idx="5">
                  <c:v>0</c:v>
                </c:pt>
                <c:pt idx="6">
                  <c:v>0</c:v>
                </c:pt>
                <c:pt idx="7">
                  <c:v>0</c:v>
                </c:pt>
                <c:pt idx="8">
                  <c:v>0</c:v>
                </c:pt>
                <c:pt idx="9">
                  <c:v>0</c:v>
                </c:pt>
              </c:numCache>
            </c:numRef>
          </c:val>
        </c:ser>
        <c:gapWidth val="150"/>
        <c:overlap val="0"/>
        <c:axId val="48936915"/>
        <c:axId val="28164189"/>
      </c:barChart>
      <c:catAx>
        <c:axId val="4893691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164189"/>
        <c:crosses val="autoZero"/>
        <c:auto val="1"/>
        <c:lblAlgn val="ctr"/>
        <c:lblOffset val="100"/>
        <c:noMultiLvlLbl val="0"/>
      </c:catAx>
      <c:valAx>
        <c:axId val="28164189"/>
        <c:scaling>
          <c:orientation val="minMax"/>
        </c:scaling>
        <c:delete val="0"/>
        <c:axPos val="l"/>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93691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0</xdr:rowOff>
    </xdr:from>
    <xdr:to>
      <xdr:col>5</xdr:col>
      <xdr:colOff>198720</xdr:colOff>
      <xdr:row>37</xdr:row>
      <xdr:rowOff>1080</xdr:rowOff>
    </xdr:to>
    <xdr:graphicFrame>
      <xdr:nvGraphicFramePr>
        <xdr:cNvPr id="0" name="Chart 1"/>
        <xdr:cNvGraphicFramePr/>
      </xdr:nvGraphicFramePr>
      <xdr:xfrm>
        <a:off x="281880" y="638172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expleo.com/global/en/careers/" TargetMode="External"/><Relationship Id="rId3" Type="http://schemas.openxmlformats.org/officeDocument/2006/relationships/hyperlink" Target="https://careers.te.com/job/Tanger-Finance-Development-Program-Trainee-%28mfd%29-TNG-9000/1259786700" TargetMode="External"/><Relationship Id="rId4" Type="http://schemas.openxmlformats.org/officeDocument/2006/relationships/hyperlink" Target="https://www.iagora.com/work/fr/offre/stage-maroc-management/5984409" TargetMode="External"/><Relationship Id="rId5" Type="http://schemas.openxmlformats.org/officeDocument/2006/relationships/hyperlink" Target="https://www.iagora.com/work/fr/offre/stage-maroc-achats/5678271" TargetMode="External"/><Relationship Id="rId6" Type="http://schemas.openxmlformats.org/officeDocument/2006/relationships/hyperlink" Target="https://ma.indeed.com/cmp/Valeo-Maroc/about" TargetMode="External"/><Relationship Id="rId7" Type="http://schemas.openxmlformats.org/officeDocument/2006/relationships/hyperlink" Target="https://www.dreamjob.ma/emploi/tanger-med-port-authority-candidature-spontanee/" TargetMode="External"/><Relationship Id="rId8" Type="http://schemas.openxmlformats.org/officeDocument/2006/relationships/hyperlink" Target="https://www.dreamjob.ma/a-la-une/stages-ouverts-a-tanger-med-chez-apm-terminals/" TargetMode="External"/><Relationship Id="rId9" Type="http://schemas.openxmlformats.org/officeDocument/2006/relationships/hyperlink" Target="https://ma.indeed.com/cmp/Opmobility/jobs" TargetMode="External"/><Relationship Id="rId10" Type="http://schemas.openxmlformats.org/officeDocument/2006/relationships/hyperlink" Target="https://www.trigo-group.com/" TargetMode="External"/><Relationship Id="rId11" Type="http://schemas.openxmlformats.org/officeDocument/2006/relationships/hyperlink" Target="https://www.dreamjob.ma/stage/orhan-automotive-lance-une-campagne-de-recrutement-de-stagiaires-a-tanger/" TargetMode="External"/><Relationship Id="rId12" Type="http://schemas.openxmlformats.org/officeDocument/2006/relationships/hyperlink" Target="https://www.dreamjob.ma/emploi/ti-fluid-systems-recrute-plusieurs-postes/" TargetMode="External"/><Relationship Id="rId13" Type="http://schemas.openxmlformats.org/officeDocument/2006/relationships/hyperlink" Target="https://www.dreamjob.ma/emploi/yazaki-maroc-recrute/" TargetMode="External"/><Relationship Id="rId14" Type="http://schemas.openxmlformats.org/officeDocument/2006/relationships/hyperlink" Target="https://bcp-cand.talent-soft.com/offre-de-emploi/imprimer-fiche-emploi-candidatures-spontanees-stage-pfe-2027-bac-5-h-f_1672.aspx" TargetMode="External"/><Relationship Id="rId15" Type="http://schemas.openxmlformats.org/officeDocument/2006/relationships/hyperlink" Target="https://carriere.creditdumaroc.ma/Pages/Offre/detailoffre.aspx?LCID=1036&amp;idOffre=3211&amp;idOrigine=502&amp;offerReference=2025-3211" TargetMode="External"/><Relationship Id="rId16" Type="http://schemas.openxmlformats.org/officeDocument/2006/relationships/hyperlink" Target="https://carriere.creditdumaroc.ma/offre-de-emploi/emploi-stage-pfe-analyste-d-affaires-grand-casablanca-el-jadida-rabat-kenitra-temara-tanger-tetouan_3197.aspx" TargetMode="External"/><Relationship Id="rId17" Type="http://schemas.openxmlformats.org/officeDocument/2006/relationships/hyperlink" Target="https://www.rekrute.com/offre-emploi-stagiaire-pfe---campagne-2026-hf---finance-audit---commercial-recrutement-saham-bank-casablanca-178707.html" TargetMode="External"/><Relationship Id="rId18" Type="http://schemas.openxmlformats.org/officeDocument/2006/relationships/hyperlink" Target="https://www.attijariwafabank.com/" TargetMode="External"/><Relationship Id="rId19" Type="http://schemas.openxmlformats.org/officeDocument/2006/relationships/hyperlink" Target="https://www.dreamjob.ma/stage/coface-ouvre-des-stages-en-data-et-intelligence-artificielle-a-casablanca/" TargetMode="External"/><Relationship Id="rId20" Type="http://schemas.openxmlformats.org/officeDocument/2006/relationships/hyperlink" Target="https://www.dreamjob.ma/stage/coface-recrute-stagiaires/" TargetMode="External"/><Relationship Id="rId21" Type="http://schemas.openxmlformats.org/officeDocument/2006/relationships/hyperlink" Target="https://www.dreamjob.ma/stage/axa-assurance-recrutement-stagiaires/" TargetMode="External"/><Relationship Id="rId22" Type="http://schemas.openxmlformats.org/officeDocument/2006/relationships/hyperlink" Target="https://www.dreamjob.ma/emploi/finance-data-et-it-wafa-assurance-recrute-a-casablanca-et-fes/" TargetMode="External"/><Relationship Id="rId23" Type="http://schemas.openxmlformats.org/officeDocument/2006/relationships/hyperlink" Target="https://www.atlantasanad.ma/" TargetMode="External"/><Relationship Id="rId24" Type="http://schemas.openxmlformats.org/officeDocument/2006/relationships/hyperlink" Target="https://www.dreamjob.ma/emploi/opportunites-a-saisir-chez-rma-a-casablanca/" TargetMode="External"/><Relationship Id="rId25" Type="http://schemas.openxmlformats.org/officeDocument/2006/relationships/hyperlink" Target="https://bghit-nekhdem.com/sanlam-maroc-lance-sa-campagne-de-recrutement-de-stagiaires-pfe-2025/" TargetMode="External"/><Relationship Id="rId26" Type="http://schemas.openxmlformats.org/officeDocument/2006/relationships/hyperlink" Target="https://www.dreamjob.ma/stage/allianz-assurances-recrute-stagiaires-actuariat-vie-sante/" TargetMode="External"/><Relationship Id="rId27" Type="http://schemas.openxmlformats.org/officeDocument/2006/relationships/hyperlink" Target="https://ma.indeed.com/Maroc-emplois-Stage-Finance" TargetMode="External"/><Relationship Id="rId28" Type="http://schemas.openxmlformats.org/officeDocument/2006/relationships/hyperlink" Target="https://emplois-afrique.kpmg.com/emploi/casablanca/auditeur-moroccan-market-stage-pfe-f-h/3358/31698089856" TargetMode="External"/><Relationship Id="rId29" Type="http://schemas.openxmlformats.org/officeDocument/2006/relationships/hyperlink" Target="https://www.dreamjob.ma/stage/deloitte-maroc-lance-sa-campagne-de-stages-audit-pfe-2026/" TargetMode="External"/><Relationship Id="rId30" Type="http://schemas.openxmlformats.org/officeDocument/2006/relationships/hyperlink" Target="https://www.dreamjob.ma/emploi/stagiaires-pfe-en-tax-recherches-par-pwc-maroc/" TargetMode="External"/><Relationship Id="rId31" Type="http://schemas.openxmlformats.org/officeDocument/2006/relationships/hyperlink" Target="https://www.ey.com/" TargetMode="External"/><Relationship Id="rId32" Type="http://schemas.openxmlformats.org/officeDocument/2006/relationships/hyperlink" Target="https://www.dreamjob.ma/stage/bdo-maroc-recherche-des-stagiaires-pfe-en-audit/" TargetMode="External"/><Relationship Id="rId33" Type="http://schemas.openxmlformats.org/officeDocument/2006/relationships/drawing" Target="../drawings/drawing1.xml"/><Relationship Id="rId34"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hyperlink" Target="https://www.coface.com/" TargetMode="External"/><Relationship Id="rId2" Type="http://schemas.openxmlformats.org/officeDocument/2006/relationships/hyperlink" Target="https://www.allianz.ma/" TargetMode="External"/><Relationship Id="rId3" Type="http://schemas.openxmlformats.org/officeDocument/2006/relationships/hyperlink" Target="https://www.sanlam.ma/" TargetMode="External"/><Relationship Id="rId4" Type="http://schemas.openxmlformats.org/officeDocument/2006/relationships/hyperlink" Target="https://careers.te.com/" TargetMode="External"/><Relationship Id="rId5" Type="http://schemas.openxmlformats.org/officeDocument/2006/relationships/hyperlink" Target="https://emplois-afrique.kpmg.com/stage-alternance-maroc" TargetMode="External"/><Relationship Id="rId6" Type="http://schemas.openxmlformats.org/officeDocument/2006/relationships/hyperlink" Target="https://www.creditdumaroc.ma/" TargetMode="External"/><Relationship Id="rId7" Type="http://schemas.openxmlformats.org/officeDocument/2006/relationships/hyperlink" Target="https://expleo.com/global/en/careers/" TargetMode="External"/><Relationship Id="rId8" Type="http://schemas.openxmlformats.org/officeDocument/2006/relationships/hyperlink" Target="https://www.renaultgroup.com/" TargetMode="External"/><Relationship Id="rId9" Type="http://schemas.openxmlformats.org/officeDocument/2006/relationships/hyperlink" Target="https://www.valeo.com/" TargetMode="External"/><Relationship Id="rId10" Type="http://schemas.openxmlformats.org/officeDocument/2006/relationships/hyperlink" Target="https://www.tangermed.ma/" TargetMode="External"/><Relationship Id="rId11" Type="http://schemas.openxmlformats.org/officeDocument/2006/relationships/hyperlink" Target="https://www.apmterminals.com/" TargetMode="External"/><Relationship Id="rId12" Type="http://schemas.openxmlformats.org/officeDocument/2006/relationships/hyperlink" Target="https://www.opmobility.com/" TargetMode="External"/><Relationship Id="rId13" Type="http://schemas.openxmlformats.org/officeDocument/2006/relationships/hyperlink" Target="https://www.sahambank.com/" TargetMode="External"/><Relationship Id="rId14" Type="http://schemas.openxmlformats.org/officeDocument/2006/relationships/hyperlink" Target="https://www.groupebcp.com/" TargetMode="External"/><Relationship Id="rId15" Type="http://schemas.openxmlformats.org/officeDocument/2006/relationships/hyperlink" Target="https://www.wafaassurance.ma/" TargetMode="External"/><Relationship Id="rId16" Type="http://schemas.openxmlformats.org/officeDocument/2006/relationships/hyperlink" Target="https://www.axa.ma/" TargetMode="External"/><Relationship Id="rId17" Type="http://schemas.openxmlformats.org/officeDocument/2006/relationships/hyperlink" Target="https://www.rmaassurance.com/" TargetMode="External"/><Relationship Id="rId18" Type="http://schemas.openxmlformats.org/officeDocument/2006/relationships/hyperlink" Target="https://www.atlantasanad.ma/" TargetMode="External"/><Relationship Id="rId19" Type="http://schemas.openxmlformats.org/officeDocument/2006/relationships/hyperlink" Target="https://www.forvismazars.com/" TargetMode="External"/><Relationship Id="rId20" Type="http://schemas.openxmlformats.org/officeDocument/2006/relationships/hyperlink" Target="https://www.rekrute.com/" TargetMode="External"/><Relationship Id="rId21" Type="http://schemas.openxmlformats.org/officeDocument/2006/relationships/hyperlink" Target="https://www.dreamjob.ma/stage/" TargetMode="External"/><Relationship Id="rId22" Type="http://schemas.openxmlformats.org/officeDocument/2006/relationships/hyperlink" Target="https://ma.indeed.com/Maroc-emplois-Stage-Finance" TargetMode="External"/><Relationship Id="rId23" Type="http://schemas.openxmlformats.org/officeDocument/2006/relationships/hyperlink" Target="https://www.iagora.com/work/fr/stages-et-emplois/maroc" TargetMode="External"/><Relationship Id="rId24" Type="http://schemas.openxmlformats.org/officeDocument/2006/relationships/hyperlink" Target="https://africarrieres.com/maroc/fr" TargetMode="External"/><Relationship Id="rId25" Type="http://schemas.openxmlformats.org/officeDocument/2006/relationships/hyperlink" Target="https://www.jobsquare.ma/" TargetMode="External"/><Relationship Id="rId26" Type="http://schemas.openxmlformats.org/officeDocument/2006/relationships/hyperlink" Target="https://www.linkedin.com/jobs/" TargetMode="External"/><Relationship Id="rId27" Type="http://schemas.openxmlformats.org/officeDocument/2006/relationships/hyperlink" Target="https://bcp-cand.talent-soft.com/offre-de-emploi/imprimer-fiche-emploi-candidatures-spontanees-stage-pfe-2027-bac-5-h-f_1672.aspx" TargetMode="External"/><Relationship Id="rId28" Type="http://schemas.openxmlformats.org/officeDocument/2006/relationships/hyperlink" Target="https://carriere.creditdumaroc.ma/" TargetMode="External"/><Relationship Id="rId29" Type="http://schemas.openxmlformats.org/officeDocument/2006/relationships/hyperlink" Target="https://pfedaba.ma/"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careers.te.com/job/Tanger-Finance-Development-Program-Trainee-%28mfd%29-TNG-9000/1259786700" TargetMode="External"/><Relationship Id="rId2" Type="http://schemas.openxmlformats.org/officeDocument/2006/relationships/hyperlink" Target="https://m.naukrigulf.com/fp-a-analyst-jobs-in-tangier-morocco-in-te-connectivity-ltd-6-to-11-years-n-cd-10003114-jid-311025500502" TargetMode="External"/><Relationship Id="rId3" Type="http://schemas.openxmlformats.org/officeDocument/2006/relationships/hyperlink" Target="https://www.dreamjob.ma/stage/stages-renault-group-nombreuses-opportunites-a-tanger-et-casablanca/" TargetMode="External"/><Relationship Id="rId4" Type="http://schemas.openxmlformats.org/officeDocument/2006/relationships/hyperlink" Target="https://www.dreamjob.ma/stage/campagne-de-stages-pfe-2026-chez-renault-group-maroc/" TargetMode="External"/><Relationship Id="rId5" Type="http://schemas.openxmlformats.org/officeDocument/2006/relationships/hyperlink" Target="https://www.dreamjob.ma/emploi/renault-group-lance-son-graduate-program-pour-les-jeunes-ingenieurs-a-casablanca-et-tanger/" TargetMode="External"/><Relationship Id="rId6" Type="http://schemas.openxmlformats.org/officeDocument/2006/relationships/hyperlink" Target="https://www.iagora.com/work/fr/offre/stage-maroc-management/5984409" TargetMode="External"/><Relationship Id="rId7" Type="http://schemas.openxmlformats.org/officeDocument/2006/relationships/hyperlink" Target="https://ma.indeed.com/cmp/Valeo-Maroc/about" TargetMode="External"/><Relationship Id="rId8" Type="http://schemas.openxmlformats.org/officeDocument/2006/relationships/hyperlink" Target="https://www.dreamjob.ma/emploi/consultants-sap-experimentes-recherches-par-expleo-group-a-tanger/" TargetMode="External"/><Relationship Id="rId9" Type="http://schemas.openxmlformats.org/officeDocument/2006/relationships/hyperlink" Target="https://www.dreamjob.ma/emploi/tanger-med-port-authority-candidature-spontanee/" TargetMode="External"/><Relationship Id="rId10" Type="http://schemas.openxmlformats.org/officeDocument/2006/relationships/hyperlink" Target="https://www.dreamjob.ma/a-la-une/stages-ouverts-a-tanger-med-chez-apm-terminals/" TargetMode="External"/><Relationship Id="rId11" Type="http://schemas.openxmlformats.org/officeDocument/2006/relationships/hyperlink" Target="https://www.dreamjob.ma/stage/orhan-automotive-lance-une-campagne-de-recrutement-de-stagiaires-a-tanger/" TargetMode="External"/><Relationship Id="rId12" Type="http://schemas.openxmlformats.org/officeDocument/2006/relationships/hyperlink" Target="https://ma.indeed.com/cmp/Opmobility/jobs" TargetMode="External"/><Relationship Id="rId13" Type="http://schemas.openxmlformats.org/officeDocument/2006/relationships/hyperlink" Target="https://www.dreamjob.ma/stage/coface-ouvre-des-stages-en-data-et-intelligence-artificielle-a-casablanca/" TargetMode="External"/><Relationship Id="rId14" Type="http://schemas.openxmlformats.org/officeDocument/2006/relationships/hyperlink" Target="https://www.dreamjob.ma/stage/coface-recrute-stagiaires/" TargetMode="External"/><Relationship Id="rId15" Type="http://schemas.openxmlformats.org/officeDocument/2006/relationships/hyperlink" Target="https://www.rekrute.com/offre-emploi-analyste-sinistres-_anapec_-recrutement-coface-casablanca-186685.html" TargetMode="External"/><Relationship Id="rId16" Type="http://schemas.openxmlformats.org/officeDocument/2006/relationships/hyperlink" Target="https://www.rekrute.com/offre-emploi-stagiaire-pfe---campagne-2026-hf---finance-audit---commercial-recrutement-saham-bank-casablanca-178707.html" TargetMode="External"/><Relationship Id="rId17" Type="http://schemas.openxmlformats.org/officeDocument/2006/relationships/hyperlink" Target="https://bghit-nekhdem.com/credit-du-maroc-lance-sa-campagne-pfe-2025-2026-au-maroc/" TargetMode="External"/><Relationship Id="rId18" Type="http://schemas.openxmlformats.org/officeDocument/2006/relationships/hyperlink" Target="https://www.creditdumaroc.ma/sites/default/files/rapport_financier_semestriel_resultats_financiers_au_30_juin_2026.pdf" TargetMode="External"/><Relationship Id="rId19" Type="http://schemas.openxmlformats.org/officeDocument/2006/relationships/hyperlink" Target="https://www.dreamjob.ma/stage/108-offres-de-stages-pfe-chez-banque-populaire/" TargetMode="External"/><Relationship Id="rId20" Type="http://schemas.openxmlformats.org/officeDocument/2006/relationships/hyperlink" Target="https://en.7news.ma/?p=18881" TargetMode="External"/><Relationship Id="rId21" Type="http://schemas.openxmlformats.org/officeDocument/2006/relationships/hyperlink" Target="https://lematin.ma/economie/attijariwafa-bank-titre-a-acheter-bmce-capital/367005" TargetMode="External"/><Relationship Id="rId22" Type="http://schemas.openxmlformats.org/officeDocument/2006/relationships/hyperlink" Target="https://www.dreamjob.ma/stage/axa-assurance-recrutement-stagiaires/" TargetMode="External"/><Relationship Id="rId23" Type="http://schemas.openxmlformats.org/officeDocument/2006/relationships/hyperlink" Target="https://www.dreamjob.ma/emploi/finance-data-et-it-wafa-assurance-recrute-a-casablanca-et-fes/" TargetMode="External"/><Relationship Id="rId24" Type="http://schemas.openxmlformats.org/officeDocument/2006/relationships/hyperlink" Target="https://www.dreamjob.ma/emploi/opportunites-a-saisir-chez-rma-a-casablanca/" TargetMode="External"/><Relationship Id="rId25" Type="http://schemas.openxmlformats.org/officeDocument/2006/relationships/hyperlink" Target="https://bghit-nekhdem.com/sanlam-maroc-lance-sa-campagne-de-recrutement-de-stagiaires-pfe-2025/" TargetMode="External"/><Relationship Id="rId26" Type="http://schemas.openxmlformats.org/officeDocument/2006/relationships/hyperlink" Target="https://www.dreamjob.ma/stage/allianz-assurances-recrute-stagiaires-actuariat-vie-sante/" TargetMode="External"/><Relationship Id="rId27" Type="http://schemas.openxmlformats.org/officeDocument/2006/relationships/hyperlink" Target="https://ma.indeed.com/Maroc-emplois-Stage-Finance" TargetMode="External"/><Relationship Id="rId28" Type="http://schemas.openxmlformats.org/officeDocument/2006/relationships/hyperlink" Target="https://emplois-afrique.kpmg.com/emploi/casablanca/auditeur-moroccan-market-stage-pfe-f-h/3358/31698089856" TargetMode="External"/><Relationship Id="rId29" Type="http://schemas.openxmlformats.org/officeDocument/2006/relationships/hyperlink" Target="https://www.dreamjob.ma/stage/deloitte-maroc-lance-sa-campagne-de-stages-audit-pfe-2026/" TargetMode="External"/><Relationship Id="rId30" Type="http://schemas.openxmlformats.org/officeDocument/2006/relationships/hyperlink" Target="https://www.dreamjob.ma/emploi/stagiaires-pfe-en-tax-recherches-par-pwc-maroc/" TargetMode="External"/><Relationship Id="rId31" Type="http://schemas.openxmlformats.org/officeDocument/2006/relationships/hyperlink" Target="https://www.dreamjob.ma/stage/bdo-maroc-recherche-des-stagiaires-pfe-en-audit/" TargetMode="External"/><Relationship Id="rId32" Type="http://schemas.openxmlformats.org/officeDocument/2006/relationships/hyperlink" Target="https://telquel.ma/2026/04/10/cabinets-daudit-ey-maroc-le-big-four-discret_1983792" TargetMode="External"/><Relationship Id="rId33" Type="http://schemas.openxmlformats.org/officeDocument/2006/relationships/hyperlink" Target="https://www.dreamjob.ma/emploi/yazaki-maroc-recrute/" TargetMode="External"/><Relationship Id="rId34" Type="http://schemas.openxmlformats.org/officeDocument/2006/relationships/hyperlink" Target="https://alwadifa-maroc.com/offre/show/id/23355" TargetMode="External"/><Relationship Id="rId35" Type="http://schemas.openxmlformats.org/officeDocument/2006/relationships/hyperlink" Target="https://africarrieres.com/ghana/en/emplois/stages-pfe-20262027-datalab-pre-embauche" TargetMode="External"/><Relationship Id="rId36" Type="http://schemas.openxmlformats.org/officeDocument/2006/relationships/hyperlink" Target="https://ma.indeed.com/cmp/Coface/jobs" TargetMode="External"/><Relationship Id="rId37" Type="http://schemas.openxmlformats.org/officeDocument/2006/relationships/hyperlink" Target="https://www.dreamjob.ma/emploi/ti-fluid-systems-recrute-plusieurs-post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U30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0"/>
    <col collapsed="false" customWidth="true" hidden="false" outlineLevel="0" max="3" min="3" style="0" width="18"/>
    <col collapsed="false" customWidth="true" hidden="false" outlineLevel="0" max="4" min="4" style="0" width="34"/>
    <col collapsed="false" customWidth="true" hidden="false" outlineLevel="0" max="5" min="5" style="0" width="42"/>
    <col collapsed="false" customWidth="true" hidden="false" outlineLevel="0" max="6" min="6" style="0" width="34"/>
    <col collapsed="false" customWidth="true" hidden="false" outlineLevel="0" max="7" min="7" style="0" width="14"/>
    <col collapsed="false" customWidth="true" hidden="false" outlineLevel="0" max="8" min="8" style="0" width="12"/>
    <col collapsed="false" customWidth="true" hidden="false" outlineLevel="0" max="9" min="9" style="0" width="18"/>
    <col collapsed="false" customWidth="true" hidden="false" outlineLevel="0" max="10" min="10" style="0" width="30"/>
    <col collapsed="false" customWidth="true" hidden="false" outlineLevel="0" max="11" min="11" style="0" width="16"/>
    <col collapsed="false" customWidth="true" hidden="false" outlineLevel="0" max="12" min="12" style="0" width="44"/>
    <col collapsed="false" customWidth="true" hidden="false" outlineLevel="0" max="13" min="13" style="0" width="30"/>
    <col collapsed="false" customWidth="true" hidden="false" outlineLevel="0" max="14" min="14" style="0" width="18"/>
    <col collapsed="false" customWidth="true" hidden="false" outlineLevel="0" max="17" min="15" style="0" width="12"/>
    <col collapsed="false" customWidth="true" hidden="false" outlineLevel="0" max="18" min="18" style="0" width="14"/>
    <col collapsed="false" customWidth="true" hidden="false" outlineLevel="0" max="19" min="19" style="0" width="32"/>
    <col collapsed="false" customWidth="true" hidden="false" outlineLevel="0" max="20" min="20" style="0" width="46"/>
    <col collapsed="false" customWidth="true" hidden="false" outlineLevel="0" max="21" min="21" style="0" width="14"/>
  </cols>
  <sheetData>
    <row r="1" customFormat="false" ht="33.75" hidden="false" customHeight="true" outlineLevel="0" collapsed="false">
      <c r="A1" s="1" t="s">
        <v>0</v>
      </c>
      <c r="B1" s="1"/>
      <c r="C1" s="1"/>
      <c r="D1" s="1"/>
      <c r="E1" s="1"/>
      <c r="F1" s="1"/>
      <c r="G1" s="1"/>
      <c r="H1" s="1"/>
      <c r="I1" s="1"/>
      <c r="J1" s="1"/>
      <c r="K1" s="1"/>
      <c r="L1" s="1"/>
      <c r="M1" s="1"/>
      <c r="N1" s="1"/>
      <c r="O1" s="1"/>
      <c r="P1" s="1"/>
      <c r="Q1" s="1"/>
      <c r="R1" s="1"/>
      <c r="S1" s="1"/>
      <c r="T1" s="1"/>
      <c r="U1" s="1"/>
    </row>
    <row r="2" customFormat="false" ht="30" hidden="false" customHeight="true" outlineLevel="0" collapsed="false">
      <c r="A2" s="2" t="s">
        <v>1</v>
      </c>
      <c r="B2" s="2"/>
      <c r="C2" s="2"/>
      <c r="D2" s="2"/>
      <c r="E2" s="2"/>
      <c r="F2" s="2"/>
      <c r="G2" s="2"/>
      <c r="H2" s="2"/>
      <c r="I2" s="2"/>
      <c r="J2" s="2"/>
      <c r="K2" s="2"/>
      <c r="L2" s="2"/>
      <c r="M2" s="2"/>
      <c r="N2" s="2"/>
      <c r="O2" s="2"/>
      <c r="P2" s="2"/>
      <c r="Q2" s="2"/>
      <c r="R2" s="2"/>
      <c r="S2" s="2"/>
      <c r="T2" s="2"/>
      <c r="U2" s="2"/>
    </row>
    <row r="3" customFormat="false" ht="15" hidden="false" customHeight="false" outlineLevel="0" collapsed="false">
      <c r="A3" s="3" t="s">
        <v>2</v>
      </c>
      <c r="B3" s="3"/>
      <c r="C3" s="3"/>
      <c r="D3" s="3"/>
      <c r="E3" s="3"/>
      <c r="F3" s="3"/>
      <c r="G3" s="3"/>
      <c r="H3" s="3"/>
      <c r="I3" s="3"/>
      <c r="J3" s="3"/>
      <c r="K3" s="3"/>
      <c r="L3" s="3"/>
      <c r="M3" s="3"/>
      <c r="N3" s="3"/>
      <c r="O3" s="3"/>
      <c r="P3" s="3"/>
      <c r="Q3" s="3"/>
      <c r="R3" s="3"/>
      <c r="S3" s="3"/>
      <c r="T3" s="3"/>
      <c r="U3" s="3"/>
    </row>
    <row r="4" customFormat="false" ht="42" hidden="false" customHeight="true" outlineLevel="0" collapsed="false">
      <c r="A4" s="4" t="s">
        <v>3</v>
      </c>
      <c r="B4" s="4" t="s">
        <v>4</v>
      </c>
      <c r="C4" s="4" t="s">
        <v>5</v>
      </c>
      <c r="D4" s="4" t="s">
        <v>6</v>
      </c>
      <c r="E4" s="4" t="s">
        <v>7</v>
      </c>
      <c r="F4" s="4" t="s">
        <v>8</v>
      </c>
      <c r="G4" s="4" t="s">
        <v>9</v>
      </c>
      <c r="H4" s="4" t="s">
        <v>10</v>
      </c>
      <c r="I4" s="4" t="s">
        <v>11</v>
      </c>
      <c r="J4" s="4" t="s">
        <v>12</v>
      </c>
      <c r="K4" s="4" t="s">
        <v>13</v>
      </c>
      <c r="L4" s="4" t="s">
        <v>14</v>
      </c>
      <c r="M4" s="4" t="s">
        <v>15</v>
      </c>
      <c r="N4" s="4" t="s">
        <v>16</v>
      </c>
      <c r="O4" s="4" t="s">
        <v>17</v>
      </c>
      <c r="P4" s="4" t="s">
        <v>18</v>
      </c>
      <c r="Q4" s="4" t="s">
        <v>19</v>
      </c>
      <c r="R4" s="4" t="s">
        <v>20</v>
      </c>
      <c r="S4" s="4" t="s">
        <v>21</v>
      </c>
      <c r="T4" s="4" t="s">
        <v>22</v>
      </c>
      <c r="U4" s="4" t="s">
        <v>23</v>
      </c>
    </row>
    <row r="5" customFormat="false" ht="91.5" hidden="false" customHeight="true" outlineLevel="0" collapsed="false">
      <c r="A5" s="5" t="s">
        <v>24</v>
      </c>
      <c r="B5" s="6" t="s">
        <v>25</v>
      </c>
      <c r="C5" s="6" t="s">
        <v>26</v>
      </c>
      <c r="D5" s="6" t="s">
        <v>27</v>
      </c>
      <c r="E5" s="6" t="s">
        <v>28</v>
      </c>
      <c r="F5" s="6" t="s">
        <v>29</v>
      </c>
      <c r="G5" s="7" t="s">
        <v>30</v>
      </c>
      <c r="H5" s="7" t="s">
        <v>31</v>
      </c>
      <c r="I5" s="6" t="s">
        <v>32</v>
      </c>
      <c r="J5" s="6" t="s">
        <v>33</v>
      </c>
      <c r="K5" s="6" t="s">
        <v>33</v>
      </c>
      <c r="L5" s="8" t="s">
        <v>34</v>
      </c>
      <c r="M5" s="6" t="s">
        <v>35</v>
      </c>
      <c r="N5" s="7" t="s">
        <v>36</v>
      </c>
      <c r="O5" s="9"/>
      <c r="P5" s="9" t="str">
        <f aca="false">IF(O5="","",O5+10)</f>
        <v/>
      </c>
      <c r="Q5" s="9"/>
      <c r="R5" s="7" t="s">
        <v>37</v>
      </c>
      <c r="S5" s="6" t="s">
        <v>38</v>
      </c>
      <c r="T5" s="6" t="s">
        <v>39</v>
      </c>
      <c r="U5" s="7" t="s">
        <v>40</v>
      </c>
    </row>
    <row r="6" customFormat="false" ht="91.5" hidden="false" customHeight="true" outlineLevel="0" collapsed="false">
      <c r="A6" s="5" t="s">
        <v>41</v>
      </c>
      <c r="B6" s="6" t="s">
        <v>42</v>
      </c>
      <c r="C6" s="6" t="s">
        <v>43</v>
      </c>
      <c r="D6" s="6" t="s">
        <v>44</v>
      </c>
      <c r="E6" s="6" t="s">
        <v>45</v>
      </c>
      <c r="F6" s="6" t="s">
        <v>46</v>
      </c>
      <c r="G6" s="7" t="s">
        <v>47</v>
      </c>
      <c r="H6" s="7" t="s">
        <v>31</v>
      </c>
      <c r="I6" s="6" t="s">
        <v>33</v>
      </c>
      <c r="J6" s="6" t="s">
        <v>33</v>
      </c>
      <c r="K6" s="6" t="s">
        <v>33</v>
      </c>
      <c r="L6" s="8" t="s">
        <v>48</v>
      </c>
      <c r="M6" s="6" t="s">
        <v>49</v>
      </c>
      <c r="N6" s="7" t="s">
        <v>50</v>
      </c>
      <c r="O6" s="9"/>
      <c r="P6" s="9" t="str">
        <f aca="false">IF(O6="","",O6+10)</f>
        <v/>
      </c>
      <c r="Q6" s="9"/>
      <c r="R6" s="7" t="s">
        <v>51</v>
      </c>
      <c r="S6" s="6" t="s">
        <v>52</v>
      </c>
      <c r="T6" s="6" t="s">
        <v>53</v>
      </c>
      <c r="U6" s="7" t="s">
        <v>40</v>
      </c>
    </row>
    <row r="7" customFormat="false" ht="91.5" hidden="false" customHeight="true" outlineLevel="0" collapsed="false">
      <c r="A7" s="5" t="s">
        <v>54</v>
      </c>
      <c r="B7" s="6" t="s">
        <v>55</v>
      </c>
      <c r="C7" s="6" t="s">
        <v>56</v>
      </c>
      <c r="D7" s="6" t="s">
        <v>57</v>
      </c>
      <c r="E7" s="6" t="s">
        <v>58</v>
      </c>
      <c r="F7" s="6" t="s">
        <v>59</v>
      </c>
      <c r="G7" s="7" t="s">
        <v>47</v>
      </c>
      <c r="H7" s="7" t="s">
        <v>31</v>
      </c>
      <c r="I7" s="6" t="s">
        <v>33</v>
      </c>
      <c r="J7" s="6" t="s">
        <v>33</v>
      </c>
      <c r="K7" s="6" t="s">
        <v>33</v>
      </c>
      <c r="L7" s="8" t="s">
        <v>60</v>
      </c>
      <c r="M7" s="6" t="s">
        <v>61</v>
      </c>
      <c r="N7" s="7" t="s">
        <v>50</v>
      </c>
      <c r="O7" s="9"/>
      <c r="P7" s="9" t="str">
        <f aca="false">IF(O7="","",O7+10)</f>
        <v/>
      </c>
      <c r="Q7" s="9"/>
      <c r="R7" s="7" t="s">
        <v>37</v>
      </c>
      <c r="S7" s="6" t="s">
        <v>62</v>
      </c>
      <c r="T7" s="6" t="s">
        <v>63</v>
      </c>
      <c r="U7" s="7" t="s">
        <v>40</v>
      </c>
    </row>
    <row r="8" customFormat="false" ht="91.5" hidden="false" customHeight="true" outlineLevel="0" collapsed="false">
      <c r="A8" s="5" t="s">
        <v>54</v>
      </c>
      <c r="B8" s="6" t="s">
        <v>64</v>
      </c>
      <c r="C8" s="6" t="s">
        <v>26</v>
      </c>
      <c r="D8" s="6" t="s">
        <v>65</v>
      </c>
      <c r="E8" s="6" t="s">
        <v>66</v>
      </c>
      <c r="F8" s="6" t="s">
        <v>67</v>
      </c>
      <c r="G8" s="7" t="s">
        <v>30</v>
      </c>
      <c r="H8" s="7" t="s">
        <v>68</v>
      </c>
      <c r="I8" s="6" t="s">
        <v>33</v>
      </c>
      <c r="J8" s="6" t="s">
        <v>33</v>
      </c>
      <c r="K8" s="6" t="s">
        <v>33</v>
      </c>
      <c r="L8" s="8" t="s">
        <v>69</v>
      </c>
      <c r="M8" s="6" t="s">
        <v>70</v>
      </c>
      <c r="N8" s="7" t="s">
        <v>50</v>
      </c>
      <c r="O8" s="9"/>
      <c r="P8" s="9" t="str">
        <f aca="false">IF(O8="","",O8+10)</f>
        <v/>
      </c>
      <c r="Q8" s="9"/>
      <c r="R8" s="7" t="s">
        <v>37</v>
      </c>
      <c r="S8" s="6" t="s">
        <v>71</v>
      </c>
      <c r="T8" s="6" t="s">
        <v>72</v>
      </c>
      <c r="U8" s="7" t="s">
        <v>40</v>
      </c>
    </row>
    <row r="9" customFormat="false" ht="91.5" hidden="false" customHeight="true" outlineLevel="0" collapsed="false">
      <c r="A9" s="5" t="s">
        <v>73</v>
      </c>
      <c r="B9" s="6" t="s">
        <v>74</v>
      </c>
      <c r="C9" s="6" t="s">
        <v>75</v>
      </c>
      <c r="D9" s="6" t="s">
        <v>76</v>
      </c>
      <c r="E9" s="6" t="s">
        <v>77</v>
      </c>
      <c r="F9" s="6" t="s">
        <v>78</v>
      </c>
      <c r="G9" s="7" t="s">
        <v>47</v>
      </c>
      <c r="H9" s="7" t="s">
        <v>68</v>
      </c>
      <c r="I9" s="6" t="s">
        <v>33</v>
      </c>
      <c r="J9" s="6" t="s">
        <v>33</v>
      </c>
      <c r="K9" s="6" t="s">
        <v>33</v>
      </c>
      <c r="L9" s="8" t="s">
        <v>79</v>
      </c>
      <c r="M9" s="6" t="s">
        <v>80</v>
      </c>
      <c r="N9" s="7" t="s">
        <v>50</v>
      </c>
      <c r="O9" s="9"/>
      <c r="P9" s="9" t="str">
        <f aca="false">IF(O9="","",O9+10)</f>
        <v/>
      </c>
      <c r="Q9" s="9"/>
      <c r="R9" s="7" t="s">
        <v>51</v>
      </c>
      <c r="S9" s="6"/>
      <c r="T9" s="6" t="s">
        <v>81</v>
      </c>
      <c r="U9" s="7" t="s">
        <v>40</v>
      </c>
    </row>
    <row r="10" customFormat="false" ht="91.5" hidden="false" customHeight="true" outlineLevel="0" collapsed="false">
      <c r="A10" s="5" t="s">
        <v>82</v>
      </c>
      <c r="B10" s="6" t="s">
        <v>83</v>
      </c>
      <c r="C10" s="6" t="s">
        <v>84</v>
      </c>
      <c r="D10" s="6" t="s">
        <v>85</v>
      </c>
      <c r="E10" s="6" t="s">
        <v>86</v>
      </c>
      <c r="F10" s="6" t="s">
        <v>87</v>
      </c>
      <c r="G10" s="7" t="s">
        <v>47</v>
      </c>
      <c r="H10" s="7" t="s">
        <v>31</v>
      </c>
      <c r="I10" s="6" t="s">
        <v>33</v>
      </c>
      <c r="J10" s="6" t="s">
        <v>33</v>
      </c>
      <c r="K10" s="6" t="s">
        <v>33</v>
      </c>
      <c r="L10" s="8" t="s">
        <v>88</v>
      </c>
      <c r="M10" s="6" t="s">
        <v>89</v>
      </c>
      <c r="N10" s="7" t="s">
        <v>90</v>
      </c>
      <c r="O10" s="9"/>
      <c r="P10" s="9" t="str">
        <f aca="false">IF(O10="","",O10+10)</f>
        <v/>
      </c>
      <c r="Q10" s="9"/>
      <c r="R10" s="7" t="s">
        <v>51</v>
      </c>
      <c r="S10" s="6"/>
      <c r="T10" s="6" t="s">
        <v>91</v>
      </c>
      <c r="U10" s="7" t="s">
        <v>40</v>
      </c>
    </row>
    <row r="11" customFormat="false" ht="91.5" hidden="false" customHeight="true" outlineLevel="0" collapsed="false">
      <c r="A11" s="5" t="s">
        <v>92</v>
      </c>
      <c r="B11" s="6" t="s">
        <v>93</v>
      </c>
      <c r="C11" s="6" t="s">
        <v>94</v>
      </c>
      <c r="D11" s="6" t="s">
        <v>95</v>
      </c>
      <c r="E11" s="6" t="s">
        <v>96</v>
      </c>
      <c r="F11" s="6" t="s">
        <v>97</v>
      </c>
      <c r="G11" s="7" t="s">
        <v>47</v>
      </c>
      <c r="H11" s="7" t="s">
        <v>68</v>
      </c>
      <c r="I11" s="6" t="s">
        <v>33</v>
      </c>
      <c r="J11" s="6" t="s">
        <v>33</v>
      </c>
      <c r="K11" s="6" t="s">
        <v>33</v>
      </c>
      <c r="L11" s="8" t="s">
        <v>98</v>
      </c>
      <c r="M11" s="6" t="s">
        <v>99</v>
      </c>
      <c r="N11" s="7" t="s">
        <v>50</v>
      </c>
      <c r="O11" s="9"/>
      <c r="P11" s="9" t="str">
        <f aca="false">IF(O11="","",O11+10)</f>
        <v/>
      </c>
      <c r="Q11" s="9"/>
      <c r="R11" s="7" t="s">
        <v>51</v>
      </c>
      <c r="S11" s="6"/>
      <c r="T11" s="6" t="s">
        <v>100</v>
      </c>
      <c r="U11" s="7" t="s">
        <v>40</v>
      </c>
    </row>
    <row r="12" customFormat="false" ht="91.5" hidden="false" customHeight="true" outlineLevel="0" collapsed="false">
      <c r="A12" s="5" t="s">
        <v>101</v>
      </c>
      <c r="B12" s="6" t="s">
        <v>74</v>
      </c>
      <c r="C12" s="6" t="s">
        <v>26</v>
      </c>
      <c r="D12" s="6" t="s">
        <v>102</v>
      </c>
      <c r="E12" s="6" t="s">
        <v>103</v>
      </c>
      <c r="F12" s="6" t="s">
        <v>104</v>
      </c>
      <c r="G12" s="7" t="s">
        <v>30</v>
      </c>
      <c r="H12" s="7" t="s">
        <v>105</v>
      </c>
      <c r="I12" s="6" t="s">
        <v>33</v>
      </c>
      <c r="J12" s="6" t="s">
        <v>33</v>
      </c>
      <c r="K12" s="6" t="s">
        <v>33</v>
      </c>
      <c r="L12" s="8" t="s">
        <v>106</v>
      </c>
      <c r="M12" s="6" t="s">
        <v>107</v>
      </c>
      <c r="N12" s="7" t="s">
        <v>50</v>
      </c>
      <c r="O12" s="9"/>
      <c r="P12" s="9" t="str">
        <f aca="false">IF(O12="","",O12+10)</f>
        <v/>
      </c>
      <c r="Q12" s="9"/>
      <c r="R12" s="7" t="s">
        <v>51</v>
      </c>
      <c r="S12" s="6"/>
      <c r="T12" s="6" t="s">
        <v>108</v>
      </c>
      <c r="U12" s="7" t="s">
        <v>40</v>
      </c>
    </row>
    <row r="13" customFormat="false" ht="91.5" hidden="false" customHeight="true" outlineLevel="0" collapsed="false">
      <c r="A13" s="5" t="s">
        <v>109</v>
      </c>
      <c r="B13" s="6" t="s">
        <v>110</v>
      </c>
      <c r="C13" s="6" t="s">
        <v>26</v>
      </c>
      <c r="D13" s="6" t="s">
        <v>111</v>
      </c>
      <c r="E13" s="6" t="s">
        <v>112</v>
      </c>
      <c r="F13" s="6" t="s">
        <v>113</v>
      </c>
      <c r="G13" s="7" t="s">
        <v>30</v>
      </c>
      <c r="H13" s="7" t="s">
        <v>105</v>
      </c>
      <c r="I13" s="6" t="s">
        <v>33</v>
      </c>
      <c r="J13" s="6" t="s">
        <v>33</v>
      </c>
      <c r="K13" s="6" t="s">
        <v>33</v>
      </c>
      <c r="L13" s="8" t="s">
        <v>114</v>
      </c>
      <c r="M13" s="6" t="s">
        <v>115</v>
      </c>
      <c r="N13" s="7" t="s">
        <v>50</v>
      </c>
      <c r="O13" s="9"/>
      <c r="P13" s="9" t="str">
        <f aca="false">IF(O13="","",O13+10)</f>
        <v/>
      </c>
      <c r="Q13" s="9"/>
      <c r="R13" s="7" t="s">
        <v>51</v>
      </c>
      <c r="S13" s="6"/>
      <c r="T13" s="6" t="s">
        <v>116</v>
      </c>
      <c r="U13" s="7" t="s">
        <v>40</v>
      </c>
    </row>
    <row r="14" customFormat="false" ht="91.5" hidden="false" customHeight="true" outlineLevel="0" collapsed="false">
      <c r="A14" s="5" t="s">
        <v>117</v>
      </c>
      <c r="B14" s="6" t="s">
        <v>74</v>
      </c>
      <c r="C14" s="6" t="s">
        <v>26</v>
      </c>
      <c r="D14" s="6" t="s">
        <v>118</v>
      </c>
      <c r="E14" s="6" t="s">
        <v>119</v>
      </c>
      <c r="F14" s="6" t="s">
        <v>120</v>
      </c>
      <c r="G14" s="7" t="s">
        <v>47</v>
      </c>
      <c r="H14" s="7" t="s">
        <v>68</v>
      </c>
      <c r="I14" s="6" t="s">
        <v>33</v>
      </c>
      <c r="J14" s="6" t="s">
        <v>121</v>
      </c>
      <c r="K14" s="6" t="s">
        <v>33</v>
      </c>
      <c r="L14" s="8" t="s">
        <v>122</v>
      </c>
      <c r="M14" s="6" t="s">
        <v>123</v>
      </c>
      <c r="N14" s="7" t="s">
        <v>50</v>
      </c>
      <c r="O14" s="9"/>
      <c r="P14" s="9" t="str">
        <f aca="false">IF(O14="","",O14+10)</f>
        <v/>
      </c>
      <c r="Q14" s="9"/>
      <c r="R14" s="7" t="s">
        <v>51</v>
      </c>
      <c r="S14" s="6"/>
      <c r="T14" s="6" t="s">
        <v>124</v>
      </c>
      <c r="U14" s="7" t="s">
        <v>40</v>
      </c>
    </row>
    <row r="15" customFormat="false" ht="91.5" hidden="false" customHeight="true" outlineLevel="0" collapsed="false">
      <c r="A15" s="5" t="s">
        <v>125</v>
      </c>
      <c r="B15" s="6" t="s">
        <v>74</v>
      </c>
      <c r="C15" s="6" t="s">
        <v>75</v>
      </c>
      <c r="D15" s="6" t="s">
        <v>126</v>
      </c>
      <c r="E15" s="6" t="s">
        <v>127</v>
      </c>
      <c r="F15" s="6" t="s">
        <v>128</v>
      </c>
      <c r="G15" s="7" t="s">
        <v>30</v>
      </c>
      <c r="H15" s="7" t="s">
        <v>105</v>
      </c>
      <c r="I15" s="6" t="s">
        <v>33</v>
      </c>
      <c r="J15" s="6" t="s">
        <v>33</v>
      </c>
      <c r="K15" s="6" t="s">
        <v>33</v>
      </c>
      <c r="L15" s="8" t="s">
        <v>129</v>
      </c>
      <c r="M15" s="6" t="s">
        <v>130</v>
      </c>
      <c r="N15" s="7" t="s">
        <v>50</v>
      </c>
      <c r="O15" s="9"/>
      <c r="P15" s="9" t="str">
        <f aca="false">IF(O15="","",O15+10)</f>
        <v/>
      </c>
      <c r="Q15" s="9"/>
      <c r="R15" s="7" t="s">
        <v>51</v>
      </c>
      <c r="S15" s="6"/>
      <c r="T15" s="6"/>
      <c r="U15" s="7" t="s">
        <v>40</v>
      </c>
    </row>
    <row r="16" customFormat="false" ht="91.5" hidden="false" customHeight="true" outlineLevel="0" collapsed="false">
      <c r="A16" s="5" t="s">
        <v>131</v>
      </c>
      <c r="B16" s="6" t="s">
        <v>132</v>
      </c>
      <c r="C16" s="6" t="s">
        <v>26</v>
      </c>
      <c r="D16" s="6" t="s">
        <v>133</v>
      </c>
      <c r="E16" s="6" t="s">
        <v>134</v>
      </c>
      <c r="F16" s="6" t="s">
        <v>135</v>
      </c>
      <c r="G16" s="7" t="s">
        <v>47</v>
      </c>
      <c r="H16" s="7" t="s">
        <v>105</v>
      </c>
      <c r="I16" s="6" t="s">
        <v>33</v>
      </c>
      <c r="J16" s="6" t="s">
        <v>33</v>
      </c>
      <c r="K16" s="6" t="s">
        <v>33</v>
      </c>
      <c r="L16" s="8" t="s">
        <v>136</v>
      </c>
      <c r="M16" s="6" t="s">
        <v>137</v>
      </c>
      <c r="N16" s="7" t="s">
        <v>50</v>
      </c>
      <c r="O16" s="9"/>
      <c r="P16" s="9" t="str">
        <f aca="false">IF(O16="","",O16+10)</f>
        <v/>
      </c>
      <c r="Q16" s="9"/>
      <c r="R16" s="7" t="s">
        <v>51</v>
      </c>
      <c r="S16" s="6"/>
      <c r="T16" s="6"/>
      <c r="U16" s="7" t="s">
        <v>40</v>
      </c>
    </row>
    <row r="17" customFormat="false" ht="91.5" hidden="false" customHeight="true" outlineLevel="0" collapsed="false">
      <c r="A17" s="5" t="s">
        <v>138</v>
      </c>
      <c r="B17" s="6" t="s">
        <v>139</v>
      </c>
      <c r="C17" s="6" t="s">
        <v>140</v>
      </c>
      <c r="D17" s="6" t="s">
        <v>141</v>
      </c>
      <c r="E17" s="6" t="s">
        <v>142</v>
      </c>
      <c r="F17" s="6" t="s">
        <v>143</v>
      </c>
      <c r="G17" s="7" t="s">
        <v>144</v>
      </c>
      <c r="H17" s="7" t="s">
        <v>31</v>
      </c>
      <c r="I17" s="6" t="s">
        <v>33</v>
      </c>
      <c r="J17" s="6" t="s">
        <v>33</v>
      </c>
      <c r="K17" s="6" t="s">
        <v>33</v>
      </c>
      <c r="L17" s="8" t="s">
        <v>145</v>
      </c>
      <c r="M17" s="6" t="s">
        <v>146</v>
      </c>
      <c r="N17" s="7" t="s">
        <v>90</v>
      </c>
      <c r="O17" s="9"/>
      <c r="P17" s="9" t="str">
        <f aca="false">IF(O17="","",O17+10)</f>
        <v/>
      </c>
      <c r="Q17" s="9"/>
      <c r="R17" s="7" t="s">
        <v>37</v>
      </c>
      <c r="S17" s="6" t="s">
        <v>147</v>
      </c>
      <c r="T17" s="6" t="s">
        <v>148</v>
      </c>
      <c r="U17" s="7" t="s">
        <v>149</v>
      </c>
    </row>
    <row r="18" customFormat="false" ht="91.5" hidden="false" customHeight="true" outlineLevel="0" collapsed="false">
      <c r="A18" s="5" t="s">
        <v>150</v>
      </c>
      <c r="B18" s="6" t="s">
        <v>139</v>
      </c>
      <c r="C18" s="6" t="s">
        <v>151</v>
      </c>
      <c r="D18" s="6" t="s">
        <v>152</v>
      </c>
      <c r="E18" s="6" t="s">
        <v>153</v>
      </c>
      <c r="F18" s="6" t="s">
        <v>154</v>
      </c>
      <c r="G18" s="7" t="s">
        <v>144</v>
      </c>
      <c r="H18" s="7" t="s">
        <v>31</v>
      </c>
      <c r="I18" s="6" t="s">
        <v>33</v>
      </c>
      <c r="J18" s="6" t="s">
        <v>33</v>
      </c>
      <c r="K18" s="6" t="s">
        <v>33</v>
      </c>
      <c r="L18" s="8" t="s">
        <v>155</v>
      </c>
      <c r="M18" s="6" t="s">
        <v>156</v>
      </c>
      <c r="N18" s="7" t="s">
        <v>50</v>
      </c>
      <c r="O18" s="9"/>
      <c r="P18" s="9" t="str">
        <f aca="false">IF(O18="","",O18+10)</f>
        <v/>
      </c>
      <c r="Q18" s="9"/>
      <c r="R18" s="7" t="s">
        <v>37</v>
      </c>
      <c r="S18" s="6"/>
      <c r="T18" s="6" t="s">
        <v>157</v>
      </c>
      <c r="U18" s="7" t="s">
        <v>40</v>
      </c>
    </row>
    <row r="19" customFormat="false" ht="91.5" hidden="false" customHeight="true" outlineLevel="0" collapsed="false">
      <c r="A19" s="5" t="s">
        <v>150</v>
      </c>
      <c r="B19" s="6" t="s">
        <v>139</v>
      </c>
      <c r="C19" s="6" t="s">
        <v>158</v>
      </c>
      <c r="D19" s="6" t="s">
        <v>159</v>
      </c>
      <c r="E19" s="6" t="s">
        <v>160</v>
      </c>
      <c r="F19" s="6" t="s">
        <v>161</v>
      </c>
      <c r="G19" s="7" t="s">
        <v>144</v>
      </c>
      <c r="H19" s="7" t="s">
        <v>31</v>
      </c>
      <c r="I19" s="6" t="s">
        <v>33</v>
      </c>
      <c r="J19" s="6" t="s">
        <v>33</v>
      </c>
      <c r="K19" s="6" t="s">
        <v>33</v>
      </c>
      <c r="L19" s="8" t="s">
        <v>162</v>
      </c>
      <c r="M19" s="6" t="s">
        <v>163</v>
      </c>
      <c r="N19" s="7" t="s">
        <v>50</v>
      </c>
      <c r="O19" s="9"/>
      <c r="P19" s="9" t="str">
        <f aca="false">IF(O19="","",O19+10)</f>
        <v/>
      </c>
      <c r="Q19" s="9"/>
      <c r="R19" s="7" t="s">
        <v>37</v>
      </c>
      <c r="S19" s="6"/>
      <c r="T19" s="6" t="s">
        <v>164</v>
      </c>
      <c r="U19" s="7" t="s">
        <v>40</v>
      </c>
    </row>
    <row r="20" customFormat="false" ht="91.5" hidden="false" customHeight="true" outlineLevel="0" collapsed="false">
      <c r="A20" s="5" t="s">
        <v>165</v>
      </c>
      <c r="B20" s="6" t="s">
        <v>139</v>
      </c>
      <c r="C20" s="6" t="s">
        <v>166</v>
      </c>
      <c r="D20" s="6" t="s">
        <v>167</v>
      </c>
      <c r="E20" s="6" t="s">
        <v>168</v>
      </c>
      <c r="F20" s="6" t="s">
        <v>169</v>
      </c>
      <c r="G20" s="7" t="s">
        <v>47</v>
      </c>
      <c r="H20" s="7" t="s">
        <v>31</v>
      </c>
      <c r="I20" s="6" t="s">
        <v>33</v>
      </c>
      <c r="J20" s="6" t="s">
        <v>33</v>
      </c>
      <c r="K20" s="6" t="s">
        <v>33</v>
      </c>
      <c r="L20" s="8" t="s">
        <v>170</v>
      </c>
      <c r="M20" s="6" t="s">
        <v>171</v>
      </c>
      <c r="N20" s="7" t="s">
        <v>50</v>
      </c>
      <c r="O20" s="9"/>
      <c r="P20" s="9" t="str">
        <f aca="false">IF(O20="","",O20+10)</f>
        <v/>
      </c>
      <c r="Q20" s="9"/>
      <c r="R20" s="7" t="s">
        <v>37</v>
      </c>
      <c r="S20" s="6"/>
      <c r="T20" s="6" t="s">
        <v>172</v>
      </c>
      <c r="U20" s="7" t="s">
        <v>40</v>
      </c>
    </row>
    <row r="21" customFormat="false" ht="91.5" hidden="false" customHeight="true" outlineLevel="0" collapsed="false">
      <c r="A21" s="5" t="s">
        <v>173</v>
      </c>
      <c r="B21" s="6" t="s">
        <v>139</v>
      </c>
      <c r="C21" s="6" t="s">
        <v>174</v>
      </c>
      <c r="D21" s="6" t="s">
        <v>175</v>
      </c>
      <c r="E21" s="6" t="s">
        <v>176</v>
      </c>
      <c r="F21" s="6" t="s">
        <v>177</v>
      </c>
      <c r="G21" s="7" t="s">
        <v>144</v>
      </c>
      <c r="H21" s="7" t="s">
        <v>68</v>
      </c>
      <c r="I21" s="6" t="s">
        <v>33</v>
      </c>
      <c r="J21" s="6" t="s">
        <v>33</v>
      </c>
      <c r="K21" s="6" t="s">
        <v>33</v>
      </c>
      <c r="L21" s="8" t="s">
        <v>178</v>
      </c>
      <c r="M21" s="6" t="s">
        <v>179</v>
      </c>
      <c r="N21" s="7" t="s">
        <v>50</v>
      </c>
      <c r="O21" s="9"/>
      <c r="P21" s="9" t="str">
        <f aca="false">IF(O21="","",O21+10)</f>
        <v/>
      </c>
      <c r="Q21" s="9"/>
      <c r="R21" s="7" t="s">
        <v>51</v>
      </c>
      <c r="S21" s="6"/>
      <c r="T21" s="6" t="s">
        <v>180</v>
      </c>
      <c r="U21" s="7" t="s">
        <v>40</v>
      </c>
    </row>
    <row r="22" customFormat="false" ht="91.5" hidden="false" customHeight="true" outlineLevel="0" collapsed="false">
      <c r="A22" s="5" t="s">
        <v>181</v>
      </c>
      <c r="B22" s="6" t="s">
        <v>182</v>
      </c>
      <c r="C22" s="6" t="s">
        <v>183</v>
      </c>
      <c r="D22" s="6" t="s">
        <v>184</v>
      </c>
      <c r="E22" s="6" t="s">
        <v>185</v>
      </c>
      <c r="F22" s="6" t="s">
        <v>186</v>
      </c>
      <c r="G22" s="7" t="s">
        <v>30</v>
      </c>
      <c r="H22" s="7" t="s">
        <v>31</v>
      </c>
      <c r="I22" s="6" t="s">
        <v>33</v>
      </c>
      <c r="J22" s="6" t="s">
        <v>33</v>
      </c>
      <c r="K22" s="6" t="s">
        <v>33</v>
      </c>
      <c r="L22" s="8" t="s">
        <v>187</v>
      </c>
      <c r="M22" s="6" t="s">
        <v>188</v>
      </c>
      <c r="N22" s="7" t="s">
        <v>90</v>
      </c>
      <c r="O22" s="9"/>
      <c r="P22" s="9" t="str">
        <f aca="false">IF(O22="","",O22+10)</f>
        <v/>
      </c>
      <c r="Q22" s="9"/>
      <c r="R22" s="7" t="s">
        <v>149</v>
      </c>
      <c r="S22" s="6" t="s">
        <v>189</v>
      </c>
      <c r="T22" s="6" t="s">
        <v>190</v>
      </c>
      <c r="U22" s="7" t="s">
        <v>149</v>
      </c>
    </row>
    <row r="23" customFormat="false" ht="91.5" hidden="false" customHeight="true" outlineLevel="0" collapsed="false">
      <c r="A23" s="5" t="s">
        <v>191</v>
      </c>
      <c r="B23" s="6" t="s">
        <v>192</v>
      </c>
      <c r="C23" s="6" t="s">
        <v>174</v>
      </c>
      <c r="D23" s="6" t="s">
        <v>193</v>
      </c>
      <c r="E23" s="6" t="s">
        <v>194</v>
      </c>
      <c r="F23" s="6" t="s">
        <v>195</v>
      </c>
      <c r="G23" s="7" t="s">
        <v>144</v>
      </c>
      <c r="H23" s="7" t="s">
        <v>31</v>
      </c>
      <c r="I23" s="6" t="s">
        <v>33</v>
      </c>
      <c r="J23" s="6" t="s">
        <v>196</v>
      </c>
      <c r="K23" s="6" t="s">
        <v>33</v>
      </c>
      <c r="L23" s="8" t="s">
        <v>197</v>
      </c>
      <c r="M23" s="6" t="s">
        <v>198</v>
      </c>
      <c r="N23" s="7" t="s">
        <v>36</v>
      </c>
      <c r="O23" s="9"/>
      <c r="P23" s="9" t="str">
        <f aca="false">IF(O23="","",O23+10)</f>
        <v/>
      </c>
      <c r="Q23" s="9"/>
      <c r="R23" s="7" t="s">
        <v>37</v>
      </c>
      <c r="S23" s="6"/>
      <c r="T23" s="6" t="s">
        <v>199</v>
      </c>
      <c r="U23" s="7" t="s">
        <v>40</v>
      </c>
    </row>
    <row r="24" customFormat="false" ht="91.5" hidden="false" customHeight="true" outlineLevel="0" collapsed="false">
      <c r="A24" s="5" t="s">
        <v>200</v>
      </c>
      <c r="B24" s="6" t="s">
        <v>201</v>
      </c>
      <c r="C24" s="6" t="s">
        <v>174</v>
      </c>
      <c r="D24" s="6" t="s">
        <v>202</v>
      </c>
      <c r="E24" s="6" t="s">
        <v>203</v>
      </c>
      <c r="F24" s="6" t="s">
        <v>204</v>
      </c>
      <c r="G24" s="7" t="s">
        <v>144</v>
      </c>
      <c r="H24" s="7" t="s">
        <v>68</v>
      </c>
      <c r="I24" s="6" t="s">
        <v>33</v>
      </c>
      <c r="J24" s="6" t="s">
        <v>33</v>
      </c>
      <c r="K24" s="6" t="s">
        <v>33</v>
      </c>
      <c r="L24" s="8" t="s">
        <v>205</v>
      </c>
      <c r="M24" s="6" t="s">
        <v>206</v>
      </c>
      <c r="N24" s="7" t="s">
        <v>50</v>
      </c>
      <c r="O24" s="9"/>
      <c r="P24" s="9" t="str">
        <f aca="false">IF(O24="","",O24+10)</f>
        <v/>
      </c>
      <c r="Q24" s="9"/>
      <c r="R24" s="7" t="s">
        <v>51</v>
      </c>
      <c r="S24" s="6"/>
      <c r="T24" s="6" t="s">
        <v>207</v>
      </c>
      <c r="U24" s="7" t="s">
        <v>40</v>
      </c>
    </row>
    <row r="25" customFormat="false" ht="91.5" hidden="false" customHeight="true" outlineLevel="0" collapsed="false">
      <c r="A25" s="5" t="s">
        <v>208</v>
      </c>
      <c r="B25" s="6" t="s">
        <v>201</v>
      </c>
      <c r="C25" s="6" t="s">
        <v>209</v>
      </c>
      <c r="D25" s="6" t="s">
        <v>210</v>
      </c>
      <c r="E25" s="6" t="s">
        <v>211</v>
      </c>
      <c r="F25" s="6" t="s">
        <v>212</v>
      </c>
      <c r="G25" s="7" t="s">
        <v>144</v>
      </c>
      <c r="H25" s="7" t="s">
        <v>68</v>
      </c>
      <c r="I25" s="6" t="s">
        <v>33</v>
      </c>
      <c r="J25" s="6" t="s">
        <v>33</v>
      </c>
      <c r="K25" s="6" t="s">
        <v>33</v>
      </c>
      <c r="L25" s="8" t="s">
        <v>213</v>
      </c>
      <c r="M25" s="6" t="s">
        <v>214</v>
      </c>
      <c r="N25" s="7" t="s">
        <v>50</v>
      </c>
      <c r="O25" s="9"/>
      <c r="P25" s="9" t="str">
        <f aca="false">IF(O25="","",O25+10)</f>
        <v/>
      </c>
      <c r="Q25" s="9"/>
      <c r="R25" s="7" t="s">
        <v>51</v>
      </c>
      <c r="S25" s="6"/>
      <c r="T25" s="6" t="s">
        <v>215</v>
      </c>
      <c r="U25" s="7" t="s">
        <v>40</v>
      </c>
    </row>
    <row r="26" customFormat="false" ht="91.5" hidden="false" customHeight="true" outlineLevel="0" collapsed="false">
      <c r="A26" s="5" t="s">
        <v>216</v>
      </c>
      <c r="B26" s="6" t="s">
        <v>217</v>
      </c>
      <c r="C26" s="6" t="s">
        <v>174</v>
      </c>
      <c r="D26" s="6" t="s">
        <v>218</v>
      </c>
      <c r="E26" s="6" t="s">
        <v>219</v>
      </c>
      <c r="F26" s="6" t="s">
        <v>113</v>
      </c>
      <c r="G26" s="7" t="s">
        <v>144</v>
      </c>
      <c r="H26" s="7" t="s">
        <v>105</v>
      </c>
      <c r="I26" s="6" t="s">
        <v>33</v>
      </c>
      <c r="J26" s="6" t="s">
        <v>33</v>
      </c>
      <c r="K26" s="6" t="s">
        <v>33</v>
      </c>
      <c r="L26" s="8" t="s">
        <v>220</v>
      </c>
      <c r="M26" s="6" t="s">
        <v>221</v>
      </c>
      <c r="N26" s="7" t="s">
        <v>50</v>
      </c>
      <c r="O26" s="9"/>
      <c r="P26" s="9" t="str">
        <f aca="false">IF(O26="","",O26+10)</f>
        <v/>
      </c>
      <c r="Q26" s="9"/>
      <c r="R26" s="7" t="s">
        <v>51</v>
      </c>
      <c r="S26" s="6"/>
      <c r="T26" s="6"/>
      <c r="U26" s="7" t="s">
        <v>40</v>
      </c>
    </row>
    <row r="27" customFormat="false" ht="91.5" hidden="false" customHeight="true" outlineLevel="0" collapsed="false">
      <c r="A27" s="5" t="s">
        <v>222</v>
      </c>
      <c r="B27" s="6" t="s">
        <v>201</v>
      </c>
      <c r="C27" s="6" t="s">
        <v>174</v>
      </c>
      <c r="D27" s="6" t="s">
        <v>223</v>
      </c>
      <c r="E27" s="6" t="s">
        <v>224</v>
      </c>
      <c r="F27" s="6" t="s">
        <v>225</v>
      </c>
      <c r="G27" s="7" t="s">
        <v>30</v>
      </c>
      <c r="H27" s="7" t="s">
        <v>68</v>
      </c>
      <c r="I27" s="6" t="s">
        <v>33</v>
      </c>
      <c r="J27" s="6" t="s">
        <v>33</v>
      </c>
      <c r="K27" s="6" t="s">
        <v>33</v>
      </c>
      <c r="L27" s="8" t="s">
        <v>226</v>
      </c>
      <c r="M27" s="6" t="s">
        <v>227</v>
      </c>
      <c r="N27" s="7" t="s">
        <v>50</v>
      </c>
      <c r="O27" s="9"/>
      <c r="P27" s="9" t="str">
        <f aca="false">IF(O27="","",O27+10)</f>
        <v/>
      </c>
      <c r="Q27" s="9"/>
      <c r="R27" s="7" t="s">
        <v>51</v>
      </c>
      <c r="S27" s="6"/>
      <c r="T27" s="6"/>
      <c r="U27" s="7" t="s">
        <v>40</v>
      </c>
    </row>
    <row r="28" customFormat="false" ht="91.5" hidden="false" customHeight="true" outlineLevel="0" collapsed="false">
      <c r="A28" s="5" t="s">
        <v>228</v>
      </c>
      <c r="B28" s="6" t="s">
        <v>201</v>
      </c>
      <c r="C28" s="6" t="s">
        <v>174</v>
      </c>
      <c r="D28" s="6" t="s">
        <v>229</v>
      </c>
      <c r="E28" s="6" t="s">
        <v>230</v>
      </c>
      <c r="F28" s="6" t="s">
        <v>231</v>
      </c>
      <c r="G28" s="7" t="s">
        <v>144</v>
      </c>
      <c r="H28" s="7" t="s">
        <v>68</v>
      </c>
      <c r="I28" s="6" t="s">
        <v>33</v>
      </c>
      <c r="J28" s="6" t="s">
        <v>232</v>
      </c>
      <c r="K28" s="6" t="s">
        <v>33</v>
      </c>
      <c r="L28" s="8" t="s">
        <v>233</v>
      </c>
      <c r="M28" s="6" t="s">
        <v>234</v>
      </c>
      <c r="N28" s="7" t="s">
        <v>50</v>
      </c>
      <c r="O28" s="9"/>
      <c r="P28" s="9" t="str">
        <f aca="false">IF(O28="","",O28+10)</f>
        <v/>
      </c>
      <c r="Q28" s="9"/>
      <c r="R28" s="7" t="s">
        <v>51</v>
      </c>
      <c r="S28" s="6" t="s">
        <v>235</v>
      </c>
      <c r="T28" s="6" t="s">
        <v>236</v>
      </c>
      <c r="U28" s="7" t="s">
        <v>40</v>
      </c>
    </row>
    <row r="29" customFormat="false" ht="91.5" hidden="false" customHeight="true" outlineLevel="0" collapsed="false">
      <c r="A29" s="5" t="s">
        <v>237</v>
      </c>
      <c r="B29" s="6" t="s">
        <v>201</v>
      </c>
      <c r="C29" s="6" t="s">
        <v>174</v>
      </c>
      <c r="D29" s="6" t="s">
        <v>238</v>
      </c>
      <c r="E29" s="6" t="s">
        <v>239</v>
      </c>
      <c r="F29" s="6" t="s">
        <v>240</v>
      </c>
      <c r="G29" s="7" t="s">
        <v>144</v>
      </c>
      <c r="H29" s="7" t="s">
        <v>68</v>
      </c>
      <c r="I29" s="6" t="s">
        <v>33</v>
      </c>
      <c r="J29" s="6" t="s">
        <v>241</v>
      </c>
      <c r="K29" s="6" t="s">
        <v>33</v>
      </c>
      <c r="L29" s="8" t="s">
        <v>242</v>
      </c>
      <c r="M29" s="6" t="s">
        <v>243</v>
      </c>
      <c r="N29" s="7" t="s">
        <v>50</v>
      </c>
      <c r="O29" s="9"/>
      <c r="P29" s="9" t="str">
        <f aca="false">IF(O29="","",O29+10)</f>
        <v/>
      </c>
      <c r="Q29" s="9"/>
      <c r="R29" s="7" t="s">
        <v>51</v>
      </c>
      <c r="S29" s="6"/>
      <c r="T29" s="6" t="s">
        <v>244</v>
      </c>
      <c r="U29" s="7" t="s">
        <v>40</v>
      </c>
    </row>
    <row r="30" customFormat="false" ht="91.5" hidden="false" customHeight="true" outlineLevel="0" collapsed="false">
      <c r="A30" s="5" t="s">
        <v>245</v>
      </c>
      <c r="B30" s="6" t="s">
        <v>246</v>
      </c>
      <c r="C30" s="6" t="s">
        <v>174</v>
      </c>
      <c r="D30" s="6" t="s">
        <v>247</v>
      </c>
      <c r="E30" s="6" t="s">
        <v>248</v>
      </c>
      <c r="F30" s="6" t="s">
        <v>249</v>
      </c>
      <c r="G30" s="7" t="s">
        <v>250</v>
      </c>
      <c r="H30" s="7" t="s">
        <v>31</v>
      </c>
      <c r="I30" s="6" t="s">
        <v>33</v>
      </c>
      <c r="J30" s="6" t="s">
        <v>33</v>
      </c>
      <c r="K30" s="6" t="s">
        <v>33</v>
      </c>
      <c r="L30" s="8" t="s">
        <v>251</v>
      </c>
      <c r="M30" s="6" t="s">
        <v>252</v>
      </c>
      <c r="N30" s="7" t="s">
        <v>90</v>
      </c>
      <c r="O30" s="9"/>
      <c r="P30" s="9" t="str">
        <f aca="false">IF(O30="","",O30+10)</f>
        <v/>
      </c>
      <c r="Q30" s="9"/>
      <c r="R30" s="7" t="s">
        <v>37</v>
      </c>
      <c r="S30" s="6" t="s">
        <v>253</v>
      </c>
      <c r="T30" s="6" t="s">
        <v>254</v>
      </c>
      <c r="U30" s="7" t="s">
        <v>149</v>
      </c>
    </row>
    <row r="31" customFormat="false" ht="91.5" hidden="false" customHeight="true" outlineLevel="0" collapsed="false">
      <c r="A31" s="5" t="s">
        <v>255</v>
      </c>
      <c r="B31" s="6" t="s">
        <v>246</v>
      </c>
      <c r="C31" s="6" t="s">
        <v>174</v>
      </c>
      <c r="D31" s="6" t="s">
        <v>256</v>
      </c>
      <c r="E31" s="6" t="s">
        <v>257</v>
      </c>
      <c r="F31" s="6" t="s">
        <v>258</v>
      </c>
      <c r="G31" s="7" t="s">
        <v>250</v>
      </c>
      <c r="H31" s="7" t="s">
        <v>68</v>
      </c>
      <c r="I31" s="6" t="s">
        <v>33</v>
      </c>
      <c r="J31" s="6" t="s">
        <v>33</v>
      </c>
      <c r="K31" s="6" t="s">
        <v>33</v>
      </c>
      <c r="L31" s="8" t="s">
        <v>259</v>
      </c>
      <c r="M31" s="6" t="s">
        <v>260</v>
      </c>
      <c r="N31" s="7" t="s">
        <v>50</v>
      </c>
      <c r="O31" s="9"/>
      <c r="P31" s="9" t="str">
        <f aca="false">IF(O31="","",O31+10)</f>
        <v/>
      </c>
      <c r="Q31" s="9"/>
      <c r="R31" s="7" t="s">
        <v>37</v>
      </c>
      <c r="S31" s="6"/>
      <c r="T31" s="6" t="s">
        <v>261</v>
      </c>
      <c r="U31" s="7" t="s">
        <v>40</v>
      </c>
    </row>
    <row r="32" customFormat="false" ht="91.5" hidden="false" customHeight="true" outlineLevel="0" collapsed="false">
      <c r="A32" s="5" t="s">
        <v>262</v>
      </c>
      <c r="B32" s="6" t="s">
        <v>246</v>
      </c>
      <c r="C32" s="6" t="s">
        <v>263</v>
      </c>
      <c r="D32" s="6" t="s">
        <v>264</v>
      </c>
      <c r="E32" s="6" t="s">
        <v>265</v>
      </c>
      <c r="F32" s="6" t="s">
        <v>266</v>
      </c>
      <c r="G32" s="7" t="s">
        <v>250</v>
      </c>
      <c r="H32" s="7" t="s">
        <v>31</v>
      </c>
      <c r="I32" s="6" t="s">
        <v>33</v>
      </c>
      <c r="J32" s="6" t="s">
        <v>33</v>
      </c>
      <c r="K32" s="6" t="s">
        <v>33</v>
      </c>
      <c r="L32" s="8" t="s">
        <v>267</v>
      </c>
      <c r="M32" s="6" t="s">
        <v>268</v>
      </c>
      <c r="N32" s="7" t="s">
        <v>50</v>
      </c>
      <c r="O32" s="9"/>
      <c r="P32" s="9" t="str">
        <f aca="false">IF(O32="","",O32+10)</f>
        <v/>
      </c>
      <c r="Q32" s="9"/>
      <c r="R32" s="7" t="s">
        <v>37</v>
      </c>
      <c r="S32" s="6"/>
      <c r="T32" s="6" t="s">
        <v>269</v>
      </c>
      <c r="U32" s="7" t="s">
        <v>40</v>
      </c>
    </row>
    <row r="33" customFormat="false" ht="91.5" hidden="false" customHeight="true" outlineLevel="0" collapsed="false">
      <c r="A33" s="5" t="s">
        <v>270</v>
      </c>
      <c r="B33" s="6" t="s">
        <v>271</v>
      </c>
      <c r="C33" s="6" t="s">
        <v>174</v>
      </c>
      <c r="D33" s="6" t="s">
        <v>272</v>
      </c>
      <c r="E33" s="6" t="s">
        <v>273</v>
      </c>
      <c r="F33" s="6" t="s">
        <v>274</v>
      </c>
      <c r="G33" s="7" t="s">
        <v>250</v>
      </c>
      <c r="H33" s="7" t="s">
        <v>105</v>
      </c>
      <c r="I33" s="6" t="s">
        <v>33</v>
      </c>
      <c r="J33" s="6" t="s">
        <v>33</v>
      </c>
      <c r="K33" s="6" t="s">
        <v>33</v>
      </c>
      <c r="L33" s="8" t="s">
        <v>275</v>
      </c>
      <c r="M33" s="6" t="s">
        <v>276</v>
      </c>
      <c r="N33" s="7" t="s">
        <v>50</v>
      </c>
      <c r="O33" s="9"/>
      <c r="P33" s="9" t="str">
        <f aca="false">IF(O33="","",O33+10)</f>
        <v/>
      </c>
      <c r="Q33" s="9"/>
      <c r="R33" s="7" t="s">
        <v>51</v>
      </c>
      <c r="S33" s="6"/>
      <c r="T33" s="6" t="s">
        <v>277</v>
      </c>
      <c r="U33" s="7" t="s">
        <v>40</v>
      </c>
    </row>
    <row r="34" customFormat="false" ht="91.5" hidden="false" customHeight="true" outlineLevel="0" collapsed="false">
      <c r="A34" s="5" t="s">
        <v>278</v>
      </c>
      <c r="B34" s="6" t="s">
        <v>246</v>
      </c>
      <c r="C34" s="6" t="s">
        <v>174</v>
      </c>
      <c r="D34" s="6" t="s">
        <v>279</v>
      </c>
      <c r="E34" s="6" t="s">
        <v>280</v>
      </c>
      <c r="F34" s="6" t="s">
        <v>281</v>
      </c>
      <c r="G34" s="7" t="s">
        <v>250</v>
      </c>
      <c r="H34" s="7" t="s">
        <v>105</v>
      </c>
      <c r="I34" s="6" t="s">
        <v>33</v>
      </c>
      <c r="J34" s="6" t="s">
        <v>33</v>
      </c>
      <c r="K34" s="6" t="s">
        <v>33</v>
      </c>
      <c r="L34" s="8" t="s">
        <v>282</v>
      </c>
      <c r="M34" s="6" t="s">
        <v>283</v>
      </c>
      <c r="N34" s="7" t="s">
        <v>50</v>
      </c>
      <c r="O34" s="9"/>
      <c r="P34" s="9" t="str">
        <f aca="false">IF(O34="","",O34+10)</f>
        <v/>
      </c>
      <c r="Q34" s="9"/>
      <c r="R34" s="7" t="s">
        <v>51</v>
      </c>
      <c r="S34" s="6"/>
      <c r="T34" s="6"/>
      <c r="U34" s="7" t="s">
        <v>40</v>
      </c>
    </row>
    <row r="35" customFormat="false" ht="91.5" hidden="false" customHeight="true" outlineLevel="0" collapsed="false">
      <c r="A35" s="5" t="s">
        <v>284</v>
      </c>
      <c r="B35" s="6" t="s">
        <v>285</v>
      </c>
      <c r="C35" s="6" t="s">
        <v>286</v>
      </c>
      <c r="D35" s="6" t="s">
        <v>287</v>
      </c>
      <c r="E35" s="6" t="s">
        <v>288</v>
      </c>
      <c r="F35" s="6" t="s">
        <v>266</v>
      </c>
      <c r="G35" s="7" t="s">
        <v>250</v>
      </c>
      <c r="H35" s="7" t="s">
        <v>68</v>
      </c>
      <c r="I35" s="6" t="s">
        <v>33</v>
      </c>
      <c r="J35" s="6" t="s">
        <v>33</v>
      </c>
      <c r="K35" s="6" t="s">
        <v>33</v>
      </c>
      <c r="L35" s="8" t="s">
        <v>289</v>
      </c>
      <c r="M35" s="6" t="s">
        <v>290</v>
      </c>
      <c r="N35" s="7" t="s">
        <v>50</v>
      </c>
      <c r="O35" s="9"/>
      <c r="P35" s="9" t="str">
        <f aca="false">IF(O35="","",O35+10)</f>
        <v/>
      </c>
      <c r="Q35" s="9"/>
      <c r="R35" s="7" t="s">
        <v>51</v>
      </c>
      <c r="S35" s="6"/>
      <c r="T35" s="6" t="s">
        <v>291</v>
      </c>
      <c r="U35" s="7" t="s">
        <v>40</v>
      </c>
    </row>
    <row r="36" customFormat="false" ht="91.5" hidden="false" customHeight="true" outlineLevel="0" collapsed="false">
      <c r="A36" s="5" t="s">
        <v>292</v>
      </c>
      <c r="B36" s="6" t="s">
        <v>293</v>
      </c>
      <c r="C36" s="6" t="s">
        <v>26</v>
      </c>
      <c r="D36" s="6" t="s">
        <v>294</v>
      </c>
      <c r="E36" s="6" t="s">
        <v>273</v>
      </c>
      <c r="F36" s="6" t="s">
        <v>273</v>
      </c>
      <c r="G36" s="7" t="s">
        <v>250</v>
      </c>
      <c r="H36" s="7" t="s">
        <v>105</v>
      </c>
      <c r="I36" s="6" t="s">
        <v>295</v>
      </c>
      <c r="J36" s="6" t="s">
        <v>33</v>
      </c>
      <c r="K36" s="6" t="s">
        <v>33</v>
      </c>
      <c r="L36" s="6" t="s">
        <v>273</v>
      </c>
      <c r="M36" s="6" t="s">
        <v>296</v>
      </c>
      <c r="N36" s="7" t="s">
        <v>36</v>
      </c>
      <c r="O36" s="9"/>
      <c r="P36" s="9" t="str">
        <f aca="false">IF(O36="","",O36+10)</f>
        <v/>
      </c>
      <c r="Q36" s="9"/>
      <c r="R36" s="7" t="s">
        <v>51</v>
      </c>
      <c r="S36" s="6"/>
      <c r="T36" s="6" t="s">
        <v>297</v>
      </c>
      <c r="U36" s="7" t="s">
        <v>40</v>
      </c>
    </row>
    <row r="37" customFormat="false" ht="15" hidden="false" customHeight="false" outlineLevel="0" collapsed="false">
      <c r="O37" s="10"/>
      <c r="P37" s="10" t="str">
        <f aca="false">IF(O37="","",O37+10)</f>
        <v/>
      </c>
      <c r="Q37" s="10"/>
    </row>
    <row r="38" customFormat="false" ht="15" hidden="false" customHeight="false" outlineLevel="0" collapsed="false">
      <c r="O38" s="10"/>
      <c r="P38" s="10" t="str">
        <f aca="false">IF(O38="","",O38+10)</f>
        <v/>
      </c>
      <c r="Q38" s="10"/>
    </row>
    <row r="39" customFormat="false" ht="15" hidden="false" customHeight="false" outlineLevel="0" collapsed="false">
      <c r="O39" s="10"/>
      <c r="P39" s="10" t="str">
        <f aca="false">IF(O39="","",O39+10)</f>
        <v/>
      </c>
      <c r="Q39" s="10"/>
    </row>
    <row r="40" customFormat="false" ht="15" hidden="false" customHeight="false" outlineLevel="0" collapsed="false">
      <c r="O40" s="10"/>
      <c r="P40" s="10" t="str">
        <f aca="false">IF(O40="","",O40+10)</f>
        <v/>
      </c>
      <c r="Q40" s="10"/>
    </row>
    <row r="41" customFormat="false" ht="15" hidden="false" customHeight="false" outlineLevel="0" collapsed="false">
      <c r="O41" s="10"/>
      <c r="P41" s="10" t="str">
        <f aca="false">IF(O41="","",O41+10)</f>
        <v/>
      </c>
      <c r="Q41" s="10"/>
    </row>
    <row r="42" customFormat="false" ht="15" hidden="false" customHeight="false" outlineLevel="0" collapsed="false">
      <c r="O42" s="10"/>
      <c r="P42" s="10" t="str">
        <f aca="false">IF(O42="","",O42+10)</f>
        <v/>
      </c>
      <c r="Q42" s="10"/>
    </row>
    <row r="43" customFormat="false" ht="15" hidden="false" customHeight="false" outlineLevel="0" collapsed="false">
      <c r="O43" s="10"/>
      <c r="P43" s="10" t="str">
        <f aca="false">IF(O43="","",O43+10)</f>
        <v/>
      </c>
      <c r="Q43" s="10"/>
    </row>
    <row r="44" customFormat="false" ht="15" hidden="false" customHeight="false" outlineLevel="0" collapsed="false">
      <c r="O44" s="10"/>
      <c r="P44" s="10" t="str">
        <f aca="false">IF(O44="","",O44+10)</f>
        <v/>
      </c>
      <c r="Q44" s="10"/>
    </row>
    <row r="45" customFormat="false" ht="15" hidden="false" customHeight="false" outlineLevel="0" collapsed="false">
      <c r="O45" s="10"/>
      <c r="P45" s="10" t="str">
        <f aca="false">IF(O45="","",O45+10)</f>
        <v/>
      </c>
      <c r="Q45" s="10"/>
    </row>
    <row r="46" customFormat="false" ht="15" hidden="false" customHeight="false" outlineLevel="0" collapsed="false">
      <c r="O46" s="10"/>
      <c r="P46" s="10" t="str">
        <f aca="false">IF(O46="","",O46+10)</f>
        <v/>
      </c>
      <c r="Q46" s="10"/>
    </row>
    <row r="47" customFormat="false" ht="15" hidden="false" customHeight="false" outlineLevel="0" collapsed="false">
      <c r="O47" s="10"/>
      <c r="P47" s="10" t="str">
        <f aca="false">IF(O47="","",O47+10)</f>
        <v/>
      </c>
      <c r="Q47" s="10"/>
    </row>
    <row r="48" customFormat="false" ht="15" hidden="false" customHeight="false" outlineLevel="0" collapsed="false">
      <c r="O48" s="10"/>
      <c r="P48" s="10" t="str">
        <f aca="false">IF(O48="","",O48+10)</f>
        <v/>
      </c>
      <c r="Q48" s="10"/>
    </row>
    <row r="49" customFormat="false" ht="15" hidden="false" customHeight="false" outlineLevel="0" collapsed="false">
      <c r="O49" s="10"/>
      <c r="P49" s="10" t="str">
        <f aca="false">IF(O49="","",O49+10)</f>
        <v/>
      </c>
      <c r="Q49" s="10"/>
    </row>
    <row r="50" customFormat="false" ht="15" hidden="false" customHeight="false" outlineLevel="0" collapsed="false">
      <c r="O50" s="10"/>
      <c r="P50" s="10" t="str">
        <f aca="false">IF(O50="","",O50+10)</f>
        <v/>
      </c>
      <c r="Q50" s="10"/>
    </row>
    <row r="51" customFormat="false" ht="15" hidden="false" customHeight="false" outlineLevel="0" collapsed="false">
      <c r="O51" s="10"/>
      <c r="P51" s="10" t="str">
        <f aca="false">IF(O51="","",O51+10)</f>
        <v/>
      </c>
      <c r="Q51" s="10"/>
    </row>
    <row r="52" customFormat="false" ht="15" hidden="false" customHeight="false" outlineLevel="0" collapsed="false">
      <c r="O52" s="10"/>
      <c r="P52" s="10" t="str">
        <f aca="false">IF(O52="","",O52+10)</f>
        <v/>
      </c>
      <c r="Q52" s="10"/>
    </row>
    <row r="53" customFormat="false" ht="15" hidden="false" customHeight="false" outlineLevel="0" collapsed="false">
      <c r="O53" s="10"/>
      <c r="P53" s="10" t="str">
        <f aca="false">IF(O53="","",O53+10)</f>
        <v/>
      </c>
      <c r="Q53" s="10"/>
    </row>
    <row r="54" customFormat="false" ht="15" hidden="false" customHeight="false" outlineLevel="0" collapsed="false">
      <c r="O54" s="10"/>
      <c r="P54" s="10" t="str">
        <f aca="false">IF(O54="","",O54+10)</f>
        <v/>
      </c>
      <c r="Q54" s="10"/>
    </row>
    <row r="55" customFormat="false" ht="15" hidden="false" customHeight="false" outlineLevel="0" collapsed="false">
      <c r="O55" s="10"/>
      <c r="P55" s="10" t="str">
        <f aca="false">IF(O55="","",O55+10)</f>
        <v/>
      </c>
      <c r="Q55" s="10"/>
    </row>
    <row r="56" customFormat="false" ht="15" hidden="false" customHeight="false" outlineLevel="0" collapsed="false">
      <c r="O56" s="10"/>
      <c r="P56" s="10" t="str">
        <f aca="false">IF(O56="","",O56+10)</f>
        <v/>
      </c>
      <c r="Q56" s="10"/>
    </row>
    <row r="57" customFormat="false" ht="15" hidden="false" customHeight="false" outlineLevel="0" collapsed="false">
      <c r="O57" s="10"/>
      <c r="P57" s="10" t="str">
        <f aca="false">IF(O57="","",O57+10)</f>
        <v/>
      </c>
      <c r="Q57" s="10"/>
    </row>
    <row r="58" customFormat="false" ht="15" hidden="false" customHeight="false" outlineLevel="0" collapsed="false">
      <c r="O58" s="10"/>
      <c r="P58" s="10" t="str">
        <f aca="false">IF(O58="","",O58+10)</f>
        <v/>
      </c>
      <c r="Q58" s="10"/>
    </row>
    <row r="59" customFormat="false" ht="15" hidden="false" customHeight="false" outlineLevel="0" collapsed="false">
      <c r="O59" s="10"/>
      <c r="P59" s="10" t="str">
        <f aca="false">IF(O59="","",O59+10)</f>
        <v/>
      </c>
      <c r="Q59" s="10"/>
    </row>
    <row r="60" customFormat="false" ht="15" hidden="false" customHeight="false" outlineLevel="0" collapsed="false">
      <c r="O60" s="10"/>
      <c r="P60" s="10" t="str">
        <f aca="false">IF(O60="","",O60+10)</f>
        <v/>
      </c>
      <c r="Q60" s="10"/>
    </row>
    <row r="61" customFormat="false" ht="15" hidden="false" customHeight="false" outlineLevel="0" collapsed="false">
      <c r="O61" s="10"/>
      <c r="P61" s="10" t="str">
        <f aca="false">IF(O61="","",O61+10)</f>
        <v/>
      </c>
      <c r="Q61" s="10"/>
    </row>
    <row r="62" customFormat="false" ht="15" hidden="false" customHeight="false" outlineLevel="0" collapsed="false">
      <c r="O62" s="10"/>
      <c r="P62" s="10" t="str">
        <f aca="false">IF(O62="","",O62+10)</f>
        <v/>
      </c>
      <c r="Q62" s="10"/>
    </row>
    <row r="63" customFormat="false" ht="15" hidden="false" customHeight="false" outlineLevel="0" collapsed="false">
      <c r="O63" s="10"/>
      <c r="P63" s="10" t="str">
        <f aca="false">IF(O63="","",O63+10)</f>
        <v/>
      </c>
      <c r="Q63" s="10"/>
    </row>
    <row r="64" customFormat="false" ht="15" hidden="false" customHeight="false" outlineLevel="0" collapsed="false">
      <c r="O64" s="10"/>
      <c r="P64" s="10" t="str">
        <f aca="false">IF(O64="","",O64+10)</f>
        <v/>
      </c>
      <c r="Q64" s="10"/>
    </row>
    <row r="65" customFormat="false" ht="15" hidden="false" customHeight="false" outlineLevel="0" collapsed="false">
      <c r="O65" s="10"/>
      <c r="P65" s="10" t="str">
        <f aca="false">IF(O65="","",O65+10)</f>
        <v/>
      </c>
      <c r="Q65" s="10"/>
    </row>
    <row r="66" customFormat="false" ht="15" hidden="false" customHeight="false" outlineLevel="0" collapsed="false">
      <c r="O66" s="10"/>
      <c r="P66" s="10" t="str">
        <f aca="false">IF(O66="","",O66+10)</f>
        <v/>
      </c>
      <c r="Q66" s="10"/>
    </row>
    <row r="67" customFormat="false" ht="15" hidden="false" customHeight="false" outlineLevel="0" collapsed="false">
      <c r="O67" s="10"/>
      <c r="P67" s="10" t="str">
        <f aca="false">IF(O67="","",O67+10)</f>
        <v/>
      </c>
      <c r="Q67" s="10"/>
    </row>
    <row r="68" customFormat="false" ht="15" hidden="false" customHeight="false" outlineLevel="0" collapsed="false">
      <c r="O68" s="10"/>
      <c r="P68" s="10" t="str">
        <f aca="false">IF(O68="","",O68+10)</f>
        <v/>
      </c>
      <c r="Q68" s="10"/>
    </row>
    <row r="69" customFormat="false" ht="15" hidden="false" customHeight="false" outlineLevel="0" collapsed="false">
      <c r="O69" s="10"/>
      <c r="P69" s="10" t="str">
        <f aca="false">IF(O69="","",O69+10)</f>
        <v/>
      </c>
      <c r="Q69" s="10"/>
    </row>
    <row r="70" customFormat="false" ht="15" hidden="false" customHeight="false" outlineLevel="0" collapsed="false">
      <c r="O70" s="10"/>
      <c r="P70" s="10" t="str">
        <f aca="false">IF(O70="","",O70+10)</f>
        <v/>
      </c>
      <c r="Q70" s="10"/>
    </row>
    <row r="71" customFormat="false" ht="15" hidden="false" customHeight="false" outlineLevel="0" collapsed="false">
      <c r="O71" s="10"/>
      <c r="P71" s="10" t="str">
        <f aca="false">IF(O71="","",O71+10)</f>
        <v/>
      </c>
      <c r="Q71" s="10"/>
    </row>
    <row r="72" customFormat="false" ht="15" hidden="false" customHeight="false" outlineLevel="0" collapsed="false">
      <c r="O72" s="10"/>
      <c r="P72" s="10" t="str">
        <f aca="false">IF(O72="","",O72+10)</f>
        <v/>
      </c>
      <c r="Q72" s="10"/>
    </row>
    <row r="73" customFormat="false" ht="15" hidden="false" customHeight="false" outlineLevel="0" collapsed="false">
      <c r="O73" s="10"/>
      <c r="P73" s="10" t="str">
        <f aca="false">IF(O73="","",O73+10)</f>
        <v/>
      </c>
      <c r="Q73" s="10"/>
    </row>
    <row r="74" customFormat="false" ht="15" hidden="false" customHeight="false" outlineLevel="0" collapsed="false">
      <c r="O74" s="10"/>
      <c r="P74" s="10" t="str">
        <f aca="false">IF(O74="","",O74+10)</f>
        <v/>
      </c>
      <c r="Q74" s="10"/>
    </row>
    <row r="75" customFormat="false" ht="15" hidden="false" customHeight="false" outlineLevel="0" collapsed="false">
      <c r="O75" s="10"/>
      <c r="P75" s="10" t="str">
        <f aca="false">IF(O75="","",O75+10)</f>
        <v/>
      </c>
      <c r="Q75" s="10"/>
    </row>
    <row r="76" customFormat="false" ht="15" hidden="false" customHeight="false" outlineLevel="0" collapsed="false">
      <c r="O76" s="10"/>
      <c r="P76" s="10" t="str">
        <f aca="false">IF(O76="","",O76+10)</f>
        <v/>
      </c>
      <c r="Q76" s="10"/>
    </row>
    <row r="77" customFormat="false" ht="15" hidden="false" customHeight="false" outlineLevel="0" collapsed="false">
      <c r="O77" s="10"/>
      <c r="P77" s="10" t="str">
        <f aca="false">IF(O77="","",O77+10)</f>
        <v/>
      </c>
      <c r="Q77" s="10"/>
    </row>
    <row r="78" customFormat="false" ht="15" hidden="false" customHeight="false" outlineLevel="0" collapsed="false">
      <c r="O78" s="10"/>
      <c r="P78" s="10" t="str">
        <f aca="false">IF(O78="","",O78+10)</f>
        <v/>
      </c>
      <c r="Q78" s="10"/>
    </row>
    <row r="79" customFormat="false" ht="15" hidden="false" customHeight="false" outlineLevel="0" collapsed="false">
      <c r="O79" s="10"/>
      <c r="P79" s="10" t="str">
        <f aca="false">IF(O79="","",O79+10)</f>
        <v/>
      </c>
      <c r="Q79" s="10"/>
    </row>
    <row r="80" customFormat="false" ht="15" hidden="false" customHeight="false" outlineLevel="0" collapsed="false">
      <c r="O80" s="10"/>
      <c r="P80" s="10" t="str">
        <f aca="false">IF(O80="","",O80+10)</f>
        <v/>
      </c>
      <c r="Q80" s="10"/>
    </row>
    <row r="81" customFormat="false" ht="15" hidden="false" customHeight="false" outlineLevel="0" collapsed="false">
      <c r="O81" s="10"/>
      <c r="P81" s="10" t="str">
        <f aca="false">IF(O81="","",O81+10)</f>
        <v/>
      </c>
      <c r="Q81" s="10"/>
    </row>
    <row r="82" customFormat="false" ht="15" hidden="false" customHeight="false" outlineLevel="0" collapsed="false">
      <c r="O82" s="10"/>
      <c r="P82" s="10" t="str">
        <f aca="false">IF(O82="","",O82+10)</f>
        <v/>
      </c>
      <c r="Q82" s="10"/>
    </row>
    <row r="83" customFormat="false" ht="15" hidden="false" customHeight="false" outlineLevel="0" collapsed="false">
      <c r="O83" s="10"/>
      <c r="P83" s="10" t="str">
        <f aca="false">IF(O83="","",O83+10)</f>
        <v/>
      </c>
      <c r="Q83" s="10"/>
    </row>
    <row r="84" customFormat="false" ht="15" hidden="false" customHeight="false" outlineLevel="0" collapsed="false">
      <c r="O84" s="10"/>
      <c r="P84" s="10" t="str">
        <f aca="false">IF(O84="","",O84+10)</f>
        <v/>
      </c>
      <c r="Q84" s="10"/>
    </row>
    <row r="85" customFormat="false" ht="15" hidden="false" customHeight="false" outlineLevel="0" collapsed="false">
      <c r="O85" s="10"/>
      <c r="P85" s="10" t="str">
        <f aca="false">IF(O85="","",O85+10)</f>
        <v/>
      </c>
      <c r="Q85" s="10"/>
    </row>
    <row r="86" customFormat="false" ht="15" hidden="false" customHeight="false" outlineLevel="0" collapsed="false">
      <c r="O86" s="10"/>
      <c r="P86" s="10" t="str">
        <f aca="false">IF(O86="","",O86+10)</f>
        <v/>
      </c>
      <c r="Q86" s="10"/>
    </row>
    <row r="87" customFormat="false" ht="15" hidden="false" customHeight="false" outlineLevel="0" collapsed="false">
      <c r="O87" s="10"/>
      <c r="P87" s="10" t="str">
        <f aca="false">IF(O87="","",O87+10)</f>
        <v/>
      </c>
      <c r="Q87" s="10"/>
    </row>
    <row r="88" customFormat="false" ht="15" hidden="false" customHeight="false" outlineLevel="0" collapsed="false">
      <c r="O88" s="10"/>
      <c r="P88" s="10" t="str">
        <f aca="false">IF(O88="","",O88+10)</f>
        <v/>
      </c>
      <c r="Q88" s="10"/>
    </row>
    <row r="89" customFormat="false" ht="15" hidden="false" customHeight="false" outlineLevel="0" collapsed="false">
      <c r="O89" s="10"/>
      <c r="P89" s="10" t="str">
        <f aca="false">IF(O89="","",O89+10)</f>
        <v/>
      </c>
      <c r="Q89" s="10"/>
    </row>
    <row r="90" customFormat="false" ht="15" hidden="false" customHeight="false" outlineLevel="0" collapsed="false">
      <c r="O90" s="10"/>
      <c r="P90" s="10" t="str">
        <f aca="false">IF(O90="","",O90+10)</f>
        <v/>
      </c>
      <c r="Q90" s="10"/>
    </row>
    <row r="91" customFormat="false" ht="15" hidden="false" customHeight="false" outlineLevel="0" collapsed="false">
      <c r="O91" s="10"/>
      <c r="P91" s="10" t="str">
        <f aca="false">IF(O91="","",O91+10)</f>
        <v/>
      </c>
      <c r="Q91" s="10"/>
    </row>
    <row r="92" customFormat="false" ht="15" hidden="false" customHeight="false" outlineLevel="0" collapsed="false">
      <c r="O92" s="10"/>
      <c r="P92" s="10" t="str">
        <f aca="false">IF(O92="","",O92+10)</f>
        <v/>
      </c>
      <c r="Q92" s="10"/>
    </row>
    <row r="93" customFormat="false" ht="15" hidden="false" customHeight="false" outlineLevel="0" collapsed="false">
      <c r="O93" s="10"/>
      <c r="P93" s="10" t="str">
        <f aca="false">IF(O93="","",O93+10)</f>
        <v/>
      </c>
      <c r="Q93" s="10"/>
    </row>
    <row r="94" customFormat="false" ht="15" hidden="false" customHeight="false" outlineLevel="0" collapsed="false">
      <c r="O94" s="10"/>
      <c r="P94" s="10" t="str">
        <f aca="false">IF(O94="","",O94+10)</f>
        <v/>
      </c>
      <c r="Q94" s="10"/>
    </row>
    <row r="95" customFormat="false" ht="15" hidden="false" customHeight="false" outlineLevel="0" collapsed="false">
      <c r="O95" s="10"/>
      <c r="P95" s="10" t="str">
        <f aca="false">IF(O95="","",O95+10)</f>
        <v/>
      </c>
      <c r="Q95" s="10"/>
    </row>
    <row r="96" customFormat="false" ht="15" hidden="false" customHeight="false" outlineLevel="0" collapsed="false">
      <c r="O96" s="10"/>
      <c r="P96" s="10" t="str">
        <f aca="false">IF(O96="","",O96+10)</f>
        <v/>
      </c>
      <c r="Q96" s="10"/>
    </row>
    <row r="97" customFormat="false" ht="15" hidden="false" customHeight="false" outlineLevel="0" collapsed="false">
      <c r="O97" s="10"/>
      <c r="P97" s="10" t="str">
        <f aca="false">IF(O97="","",O97+10)</f>
        <v/>
      </c>
      <c r="Q97" s="10"/>
    </row>
    <row r="98" customFormat="false" ht="15" hidden="false" customHeight="false" outlineLevel="0" collapsed="false">
      <c r="O98" s="10"/>
      <c r="P98" s="10" t="str">
        <f aca="false">IF(O98="","",O98+10)</f>
        <v/>
      </c>
      <c r="Q98" s="10"/>
    </row>
    <row r="99" customFormat="false" ht="15" hidden="false" customHeight="false" outlineLevel="0" collapsed="false">
      <c r="O99" s="10"/>
      <c r="P99" s="10" t="str">
        <f aca="false">IF(O99="","",O99+10)</f>
        <v/>
      </c>
      <c r="Q99" s="10"/>
    </row>
    <row r="100" customFormat="false" ht="15" hidden="false" customHeight="false" outlineLevel="0" collapsed="false">
      <c r="O100" s="10"/>
      <c r="P100" s="10" t="str">
        <f aca="false">IF(O100="","",O100+10)</f>
        <v/>
      </c>
      <c r="Q100" s="10"/>
    </row>
    <row r="101" customFormat="false" ht="15" hidden="false" customHeight="false" outlineLevel="0" collapsed="false">
      <c r="O101" s="10"/>
      <c r="P101" s="10" t="str">
        <f aca="false">IF(O101="","",O101+10)</f>
        <v/>
      </c>
      <c r="Q101" s="10"/>
    </row>
    <row r="102" customFormat="false" ht="15" hidden="false" customHeight="false" outlineLevel="0" collapsed="false">
      <c r="O102" s="10"/>
      <c r="P102" s="10" t="str">
        <f aca="false">IF(O102="","",O102+10)</f>
        <v/>
      </c>
      <c r="Q102" s="10"/>
    </row>
    <row r="103" customFormat="false" ht="15" hidden="false" customHeight="false" outlineLevel="0" collapsed="false">
      <c r="O103" s="10"/>
      <c r="P103" s="10" t="str">
        <f aca="false">IF(O103="","",O103+10)</f>
        <v/>
      </c>
      <c r="Q103" s="10"/>
    </row>
    <row r="104" customFormat="false" ht="15" hidden="false" customHeight="false" outlineLevel="0" collapsed="false">
      <c r="O104" s="10"/>
      <c r="P104" s="10" t="str">
        <f aca="false">IF(O104="","",O104+10)</f>
        <v/>
      </c>
      <c r="Q104" s="10"/>
    </row>
    <row r="105" customFormat="false" ht="15" hidden="false" customHeight="false" outlineLevel="0" collapsed="false">
      <c r="O105" s="10"/>
      <c r="P105" s="10" t="str">
        <f aca="false">IF(O105="","",O105+10)</f>
        <v/>
      </c>
      <c r="Q105" s="10"/>
    </row>
    <row r="106" customFormat="false" ht="15" hidden="false" customHeight="false" outlineLevel="0" collapsed="false">
      <c r="O106" s="10"/>
      <c r="P106" s="10" t="str">
        <f aca="false">IF(O106="","",O106+10)</f>
        <v/>
      </c>
      <c r="Q106" s="10"/>
    </row>
    <row r="107" customFormat="false" ht="15" hidden="false" customHeight="false" outlineLevel="0" collapsed="false">
      <c r="O107" s="10"/>
      <c r="P107" s="10" t="str">
        <f aca="false">IF(O107="","",O107+10)</f>
        <v/>
      </c>
      <c r="Q107" s="10"/>
    </row>
    <row r="108" customFormat="false" ht="15" hidden="false" customHeight="false" outlineLevel="0" collapsed="false">
      <c r="O108" s="10"/>
      <c r="P108" s="10" t="str">
        <f aca="false">IF(O108="","",O108+10)</f>
        <v/>
      </c>
      <c r="Q108" s="10"/>
    </row>
    <row r="109" customFormat="false" ht="15" hidden="false" customHeight="false" outlineLevel="0" collapsed="false">
      <c r="O109" s="10"/>
      <c r="P109" s="10" t="str">
        <f aca="false">IF(O109="","",O109+10)</f>
        <v/>
      </c>
      <c r="Q109" s="10"/>
    </row>
    <row r="110" customFormat="false" ht="15" hidden="false" customHeight="false" outlineLevel="0" collapsed="false">
      <c r="O110" s="10"/>
      <c r="P110" s="10" t="str">
        <f aca="false">IF(O110="","",O110+10)</f>
        <v/>
      </c>
      <c r="Q110" s="10"/>
    </row>
    <row r="111" customFormat="false" ht="15" hidden="false" customHeight="false" outlineLevel="0" collapsed="false">
      <c r="O111" s="10"/>
      <c r="P111" s="10" t="str">
        <f aca="false">IF(O111="","",O111+10)</f>
        <v/>
      </c>
      <c r="Q111" s="10"/>
    </row>
    <row r="112" customFormat="false" ht="15" hidden="false" customHeight="false" outlineLevel="0" collapsed="false">
      <c r="O112" s="10"/>
      <c r="P112" s="10" t="str">
        <f aca="false">IF(O112="","",O112+10)</f>
        <v/>
      </c>
      <c r="Q112" s="10"/>
    </row>
    <row r="113" customFormat="false" ht="15" hidden="false" customHeight="false" outlineLevel="0" collapsed="false">
      <c r="O113" s="10"/>
      <c r="P113" s="10" t="str">
        <f aca="false">IF(O113="","",O113+10)</f>
        <v/>
      </c>
      <c r="Q113" s="10"/>
    </row>
    <row r="114" customFormat="false" ht="15" hidden="false" customHeight="false" outlineLevel="0" collapsed="false">
      <c r="O114" s="10"/>
      <c r="P114" s="10" t="str">
        <f aca="false">IF(O114="","",O114+10)</f>
        <v/>
      </c>
      <c r="Q114" s="10"/>
    </row>
    <row r="115" customFormat="false" ht="15" hidden="false" customHeight="false" outlineLevel="0" collapsed="false">
      <c r="O115" s="10"/>
      <c r="P115" s="10" t="str">
        <f aca="false">IF(O115="","",O115+10)</f>
        <v/>
      </c>
      <c r="Q115" s="10"/>
    </row>
    <row r="116" customFormat="false" ht="15" hidden="false" customHeight="false" outlineLevel="0" collapsed="false">
      <c r="O116" s="10"/>
      <c r="P116" s="10" t="str">
        <f aca="false">IF(O116="","",O116+10)</f>
        <v/>
      </c>
      <c r="Q116" s="10"/>
    </row>
    <row r="117" customFormat="false" ht="15" hidden="false" customHeight="false" outlineLevel="0" collapsed="false">
      <c r="O117" s="10"/>
      <c r="P117" s="10" t="str">
        <f aca="false">IF(O117="","",O117+10)</f>
        <v/>
      </c>
      <c r="Q117" s="10"/>
    </row>
    <row r="118" customFormat="false" ht="15" hidden="false" customHeight="false" outlineLevel="0" collapsed="false">
      <c r="O118" s="10"/>
      <c r="P118" s="10" t="str">
        <f aca="false">IF(O118="","",O118+10)</f>
        <v/>
      </c>
      <c r="Q118" s="10"/>
    </row>
    <row r="119" customFormat="false" ht="15" hidden="false" customHeight="false" outlineLevel="0" collapsed="false">
      <c r="O119" s="10"/>
      <c r="P119" s="10" t="str">
        <f aca="false">IF(O119="","",O119+10)</f>
        <v/>
      </c>
      <c r="Q119" s="10"/>
    </row>
    <row r="120" customFormat="false" ht="15" hidden="false" customHeight="false" outlineLevel="0" collapsed="false">
      <c r="O120" s="10"/>
      <c r="P120" s="10" t="str">
        <f aca="false">IF(O120="","",O120+10)</f>
        <v/>
      </c>
      <c r="Q120" s="10"/>
    </row>
    <row r="121" customFormat="false" ht="15" hidden="false" customHeight="false" outlineLevel="0" collapsed="false">
      <c r="O121" s="10"/>
      <c r="P121" s="10" t="str">
        <f aca="false">IF(O121="","",O121+10)</f>
        <v/>
      </c>
      <c r="Q121" s="10"/>
    </row>
    <row r="122" customFormat="false" ht="15" hidden="false" customHeight="false" outlineLevel="0" collapsed="false">
      <c r="O122" s="10"/>
      <c r="P122" s="10" t="str">
        <f aca="false">IF(O122="","",O122+10)</f>
        <v/>
      </c>
      <c r="Q122" s="10"/>
    </row>
    <row r="123" customFormat="false" ht="15" hidden="false" customHeight="false" outlineLevel="0" collapsed="false">
      <c r="O123" s="10"/>
      <c r="P123" s="10" t="str">
        <f aca="false">IF(O123="","",O123+10)</f>
        <v/>
      </c>
      <c r="Q123" s="10"/>
    </row>
    <row r="124" customFormat="false" ht="15" hidden="false" customHeight="false" outlineLevel="0" collapsed="false">
      <c r="O124" s="10"/>
      <c r="P124" s="10" t="str">
        <f aca="false">IF(O124="","",O124+10)</f>
        <v/>
      </c>
      <c r="Q124" s="10"/>
    </row>
    <row r="125" customFormat="false" ht="15" hidden="false" customHeight="false" outlineLevel="0" collapsed="false">
      <c r="O125" s="10"/>
      <c r="P125" s="10" t="str">
        <f aca="false">IF(O125="","",O125+10)</f>
        <v/>
      </c>
      <c r="Q125" s="10"/>
    </row>
    <row r="126" customFormat="false" ht="15" hidden="false" customHeight="false" outlineLevel="0" collapsed="false">
      <c r="O126" s="10"/>
      <c r="P126" s="10" t="str">
        <f aca="false">IF(O126="","",O126+10)</f>
        <v/>
      </c>
      <c r="Q126" s="10"/>
    </row>
    <row r="127" customFormat="false" ht="15" hidden="false" customHeight="false" outlineLevel="0" collapsed="false">
      <c r="O127" s="10"/>
      <c r="P127" s="10" t="str">
        <f aca="false">IF(O127="","",O127+10)</f>
        <v/>
      </c>
      <c r="Q127" s="10"/>
    </row>
    <row r="128" customFormat="false" ht="15" hidden="false" customHeight="false" outlineLevel="0" collapsed="false">
      <c r="O128" s="10"/>
      <c r="P128" s="10" t="str">
        <f aca="false">IF(O128="","",O128+10)</f>
        <v/>
      </c>
      <c r="Q128" s="10"/>
    </row>
    <row r="129" customFormat="false" ht="15" hidden="false" customHeight="false" outlineLevel="0" collapsed="false">
      <c r="O129" s="10"/>
      <c r="P129" s="10" t="str">
        <f aca="false">IF(O129="","",O129+10)</f>
        <v/>
      </c>
      <c r="Q129" s="10"/>
    </row>
    <row r="130" customFormat="false" ht="15" hidden="false" customHeight="false" outlineLevel="0" collapsed="false">
      <c r="O130" s="10"/>
      <c r="P130" s="10" t="str">
        <f aca="false">IF(O130="","",O130+10)</f>
        <v/>
      </c>
      <c r="Q130" s="10"/>
    </row>
    <row r="131" customFormat="false" ht="15" hidden="false" customHeight="false" outlineLevel="0" collapsed="false">
      <c r="O131" s="10"/>
      <c r="P131" s="10" t="str">
        <f aca="false">IF(O131="","",O131+10)</f>
        <v/>
      </c>
      <c r="Q131" s="10"/>
    </row>
    <row r="132" customFormat="false" ht="15" hidden="false" customHeight="false" outlineLevel="0" collapsed="false">
      <c r="O132" s="10"/>
      <c r="P132" s="10" t="str">
        <f aca="false">IF(O132="","",O132+10)</f>
        <v/>
      </c>
      <c r="Q132" s="10"/>
    </row>
    <row r="133" customFormat="false" ht="15" hidden="false" customHeight="false" outlineLevel="0" collapsed="false">
      <c r="O133" s="10"/>
      <c r="P133" s="10" t="str">
        <f aca="false">IF(O133="","",O133+10)</f>
        <v/>
      </c>
      <c r="Q133" s="10"/>
    </row>
    <row r="134" customFormat="false" ht="15" hidden="false" customHeight="false" outlineLevel="0" collapsed="false">
      <c r="O134" s="10"/>
      <c r="P134" s="10" t="str">
        <f aca="false">IF(O134="","",O134+10)</f>
        <v/>
      </c>
      <c r="Q134" s="10"/>
    </row>
    <row r="135" customFormat="false" ht="15" hidden="false" customHeight="false" outlineLevel="0" collapsed="false">
      <c r="O135" s="10"/>
      <c r="P135" s="10" t="str">
        <f aca="false">IF(O135="","",O135+10)</f>
        <v/>
      </c>
      <c r="Q135" s="10"/>
    </row>
    <row r="136" customFormat="false" ht="15" hidden="false" customHeight="false" outlineLevel="0" collapsed="false">
      <c r="O136" s="10"/>
      <c r="P136" s="10" t="str">
        <f aca="false">IF(O136="","",O136+10)</f>
        <v/>
      </c>
      <c r="Q136" s="10"/>
    </row>
    <row r="137" customFormat="false" ht="15" hidden="false" customHeight="false" outlineLevel="0" collapsed="false">
      <c r="O137" s="10"/>
      <c r="P137" s="10" t="str">
        <f aca="false">IF(O137="","",O137+10)</f>
        <v/>
      </c>
      <c r="Q137" s="10"/>
    </row>
    <row r="138" customFormat="false" ht="15" hidden="false" customHeight="false" outlineLevel="0" collapsed="false">
      <c r="O138" s="10"/>
      <c r="P138" s="10" t="str">
        <f aca="false">IF(O138="","",O138+10)</f>
        <v/>
      </c>
      <c r="Q138" s="10"/>
    </row>
    <row r="139" customFormat="false" ht="15" hidden="false" customHeight="false" outlineLevel="0" collapsed="false">
      <c r="O139" s="10"/>
      <c r="P139" s="10" t="str">
        <f aca="false">IF(O139="","",O139+10)</f>
        <v/>
      </c>
      <c r="Q139" s="10"/>
    </row>
    <row r="140" customFormat="false" ht="15" hidden="false" customHeight="false" outlineLevel="0" collapsed="false">
      <c r="O140" s="10"/>
      <c r="P140" s="10" t="str">
        <f aca="false">IF(O140="","",O140+10)</f>
        <v/>
      </c>
      <c r="Q140" s="10"/>
    </row>
    <row r="141" customFormat="false" ht="15" hidden="false" customHeight="false" outlineLevel="0" collapsed="false">
      <c r="O141" s="10"/>
      <c r="P141" s="10" t="str">
        <f aca="false">IF(O141="","",O141+10)</f>
        <v/>
      </c>
      <c r="Q141" s="10"/>
    </row>
    <row r="142" customFormat="false" ht="15" hidden="false" customHeight="false" outlineLevel="0" collapsed="false">
      <c r="O142" s="10"/>
      <c r="P142" s="10" t="str">
        <f aca="false">IF(O142="","",O142+10)</f>
        <v/>
      </c>
      <c r="Q142" s="10"/>
    </row>
    <row r="143" customFormat="false" ht="15" hidden="false" customHeight="false" outlineLevel="0" collapsed="false">
      <c r="O143" s="10"/>
      <c r="P143" s="10" t="str">
        <f aca="false">IF(O143="","",O143+10)</f>
        <v/>
      </c>
      <c r="Q143" s="10"/>
    </row>
    <row r="144" customFormat="false" ht="15" hidden="false" customHeight="false" outlineLevel="0" collapsed="false">
      <c r="O144" s="10"/>
      <c r="P144" s="10" t="str">
        <f aca="false">IF(O144="","",O144+10)</f>
        <v/>
      </c>
      <c r="Q144" s="10"/>
    </row>
    <row r="145" customFormat="false" ht="15" hidden="false" customHeight="false" outlineLevel="0" collapsed="false">
      <c r="O145" s="10"/>
      <c r="P145" s="10" t="str">
        <f aca="false">IF(O145="","",O145+10)</f>
        <v/>
      </c>
      <c r="Q145" s="10"/>
    </row>
    <row r="146" customFormat="false" ht="15" hidden="false" customHeight="false" outlineLevel="0" collapsed="false">
      <c r="O146" s="10"/>
      <c r="P146" s="10" t="str">
        <f aca="false">IF(O146="","",O146+10)</f>
        <v/>
      </c>
      <c r="Q146" s="10"/>
    </row>
    <row r="147" customFormat="false" ht="15" hidden="false" customHeight="false" outlineLevel="0" collapsed="false">
      <c r="O147" s="10"/>
      <c r="P147" s="10" t="str">
        <f aca="false">IF(O147="","",O147+10)</f>
        <v/>
      </c>
      <c r="Q147" s="10"/>
    </row>
    <row r="148" customFormat="false" ht="15" hidden="false" customHeight="false" outlineLevel="0" collapsed="false">
      <c r="O148" s="10"/>
      <c r="P148" s="10" t="str">
        <f aca="false">IF(O148="","",O148+10)</f>
        <v/>
      </c>
      <c r="Q148" s="10"/>
    </row>
    <row r="149" customFormat="false" ht="15" hidden="false" customHeight="false" outlineLevel="0" collapsed="false">
      <c r="O149" s="10"/>
      <c r="P149" s="10" t="str">
        <f aca="false">IF(O149="","",O149+10)</f>
        <v/>
      </c>
      <c r="Q149" s="10"/>
    </row>
    <row r="150" customFormat="false" ht="15" hidden="false" customHeight="false" outlineLevel="0" collapsed="false">
      <c r="O150" s="10"/>
      <c r="P150" s="10" t="str">
        <f aca="false">IF(O150="","",O150+10)</f>
        <v/>
      </c>
      <c r="Q150" s="10"/>
    </row>
    <row r="151" customFormat="false" ht="15" hidden="false" customHeight="false" outlineLevel="0" collapsed="false">
      <c r="O151" s="10"/>
      <c r="P151" s="10" t="str">
        <f aca="false">IF(O151="","",O151+10)</f>
        <v/>
      </c>
      <c r="Q151" s="10"/>
    </row>
    <row r="152" customFormat="false" ht="15" hidden="false" customHeight="false" outlineLevel="0" collapsed="false">
      <c r="O152" s="10"/>
      <c r="P152" s="10" t="str">
        <f aca="false">IF(O152="","",O152+10)</f>
        <v/>
      </c>
      <c r="Q152" s="10"/>
    </row>
    <row r="153" customFormat="false" ht="15" hidden="false" customHeight="false" outlineLevel="0" collapsed="false">
      <c r="O153" s="10"/>
      <c r="P153" s="10" t="str">
        <f aca="false">IF(O153="","",O153+10)</f>
        <v/>
      </c>
      <c r="Q153" s="10"/>
    </row>
    <row r="154" customFormat="false" ht="15" hidden="false" customHeight="false" outlineLevel="0" collapsed="false">
      <c r="O154" s="10"/>
      <c r="P154" s="10" t="str">
        <f aca="false">IF(O154="","",O154+10)</f>
        <v/>
      </c>
      <c r="Q154" s="10"/>
    </row>
    <row r="155" customFormat="false" ht="15" hidden="false" customHeight="false" outlineLevel="0" collapsed="false">
      <c r="O155" s="10"/>
      <c r="P155" s="10" t="str">
        <f aca="false">IF(O155="","",O155+10)</f>
        <v/>
      </c>
      <c r="Q155" s="10"/>
    </row>
    <row r="156" customFormat="false" ht="15" hidden="false" customHeight="false" outlineLevel="0" collapsed="false">
      <c r="O156" s="10"/>
      <c r="P156" s="10" t="str">
        <f aca="false">IF(O156="","",O156+10)</f>
        <v/>
      </c>
      <c r="Q156" s="10"/>
    </row>
    <row r="157" customFormat="false" ht="15" hidden="false" customHeight="false" outlineLevel="0" collapsed="false">
      <c r="O157" s="10"/>
      <c r="P157" s="10" t="str">
        <f aca="false">IF(O157="","",O157+10)</f>
        <v/>
      </c>
      <c r="Q157" s="10"/>
    </row>
    <row r="158" customFormat="false" ht="15" hidden="false" customHeight="false" outlineLevel="0" collapsed="false">
      <c r="O158" s="10"/>
      <c r="P158" s="10" t="str">
        <f aca="false">IF(O158="","",O158+10)</f>
        <v/>
      </c>
      <c r="Q158" s="10"/>
    </row>
    <row r="159" customFormat="false" ht="15" hidden="false" customHeight="false" outlineLevel="0" collapsed="false">
      <c r="O159" s="10"/>
      <c r="P159" s="10" t="str">
        <f aca="false">IF(O159="","",O159+10)</f>
        <v/>
      </c>
      <c r="Q159" s="10"/>
    </row>
    <row r="160" customFormat="false" ht="15" hidden="false" customHeight="false" outlineLevel="0" collapsed="false">
      <c r="O160" s="10"/>
      <c r="P160" s="10" t="str">
        <f aca="false">IF(O160="","",O160+10)</f>
        <v/>
      </c>
      <c r="Q160" s="10"/>
    </row>
    <row r="161" customFormat="false" ht="15" hidden="false" customHeight="false" outlineLevel="0" collapsed="false">
      <c r="O161" s="10"/>
      <c r="P161" s="10" t="str">
        <f aca="false">IF(O161="","",O161+10)</f>
        <v/>
      </c>
      <c r="Q161" s="10"/>
    </row>
    <row r="162" customFormat="false" ht="15" hidden="false" customHeight="false" outlineLevel="0" collapsed="false">
      <c r="O162" s="10"/>
      <c r="P162" s="10" t="str">
        <f aca="false">IF(O162="","",O162+10)</f>
        <v/>
      </c>
      <c r="Q162" s="10"/>
    </row>
    <row r="163" customFormat="false" ht="15" hidden="false" customHeight="false" outlineLevel="0" collapsed="false">
      <c r="O163" s="10"/>
      <c r="P163" s="10" t="str">
        <f aca="false">IF(O163="","",O163+10)</f>
        <v/>
      </c>
      <c r="Q163" s="10"/>
    </row>
    <row r="164" customFormat="false" ht="15" hidden="false" customHeight="false" outlineLevel="0" collapsed="false">
      <c r="O164" s="10"/>
      <c r="P164" s="10" t="str">
        <f aca="false">IF(O164="","",O164+10)</f>
        <v/>
      </c>
      <c r="Q164" s="10"/>
    </row>
    <row r="165" customFormat="false" ht="15" hidden="false" customHeight="false" outlineLevel="0" collapsed="false">
      <c r="O165" s="10"/>
      <c r="P165" s="10" t="str">
        <f aca="false">IF(O165="","",O165+10)</f>
        <v/>
      </c>
      <c r="Q165" s="10"/>
    </row>
    <row r="166" customFormat="false" ht="15" hidden="false" customHeight="false" outlineLevel="0" collapsed="false">
      <c r="O166" s="10"/>
      <c r="P166" s="10" t="str">
        <f aca="false">IF(O166="","",O166+10)</f>
        <v/>
      </c>
      <c r="Q166" s="10"/>
    </row>
    <row r="167" customFormat="false" ht="15" hidden="false" customHeight="false" outlineLevel="0" collapsed="false">
      <c r="O167" s="10"/>
      <c r="P167" s="10" t="str">
        <f aca="false">IF(O167="","",O167+10)</f>
        <v/>
      </c>
      <c r="Q167" s="10"/>
    </row>
    <row r="168" customFormat="false" ht="15" hidden="false" customHeight="false" outlineLevel="0" collapsed="false">
      <c r="O168" s="10"/>
      <c r="P168" s="10" t="str">
        <f aca="false">IF(O168="","",O168+10)</f>
        <v/>
      </c>
      <c r="Q168" s="10"/>
    </row>
    <row r="169" customFormat="false" ht="15" hidden="false" customHeight="false" outlineLevel="0" collapsed="false">
      <c r="O169" s="10"/>
      <c r="P169" s="10" t="str">
        <f aca="false">IF(O169="","",O169+10)</f>
        <v/>
      </c>
      <c r="Q169" s="10"/>
    </row>
    <row r="170" customFormat="false" ht="15" hidden="false" customHeight="false" outlineLevel="0" collapsed="false">
      <c r="O170" s="10"/>
      <c r="P170" s="10" t="str">
        <f aca="false">IF(O170="","",O170+10)</f>
        <v/>
      </c>
      <c r="Q170" s="10"/>
    </row>
    <row r="171" customFormat="false" ht="15" hidden="false" customHeight="false" outlineLevel="0" collapsed="false">
      <c r="O171" s="10"/>
      <c r="P171" s="10" t="str">
        <f aca="false">IF(O171="","",O171+10)</f>
        <v/>
      </c>
      <c r="Q171" s="10"/>
    </row>
    <row r="172" customFormat="false" ht="15" hidden="false" customHeight="false" outlineLevel="0" collapsed="false">
      <c r="O172" s="10"/>
      <c r="P172" s="10" t="str">
        <f aca="false">IF(O172="","",O172+10)</f>
        <v/>
      </c>
      <c r="Q172" s="10"/>
    </row>
    <row r="173" customFormat="false" ht="15" hidden="false" customHeight="false" outlineLevel="0" collapsed="false">
      <c r="O173" s="10"/>
      <c r="P173" s="10" t="str">
        <f aca="false">IF(O173="","",O173+10)</f>
        <v/>
      </c>
      <c r="Q173" s="10"/>
    </row>
    <row r="174" customFormat="false" ht="15" hidden="false" customHeight="false" outlineLevel="0" collapsed="false">
      <c r="O174" s="10"/>
      <c r="P174" s="10" t="str">
        <f aca="false">IF(O174="","",O174+10)</f>
        <v/>
      </c>
      <c r="Q174" s="10"/>
    </row>
    <row r="175" customFormat="false" ht="15" hidden="false" customHeight="false" outlineLevel="0" collapsed="false">
      <c r="O175" s="10"/>
      <c r="P175" s="10" t="str">
        <f aca="false">IF(O175="","",O175+10)</f>
        <v/>
      </c>
      <c r="Q175" s="10"/>
    </row>
    <row r="176" customFormat="false" ht="15" hidden="false" customHeight="false" outlineLevel="0" collapsed="false">
      <c r="O176" s="10"/>
      <c r="P176" s="10" t="str">
        <f aca="false">IF(O176="","",O176+10)</f>
        <v/>
      </c>
      <c r="Q176" s="10"/>
    </row>
    <row r="177" customFormat="false" ht="15" hidden="false" customHeight="false" outlineLevel="0" collapsed="false">
      <c r="O177" s="10"/>
      <c r="P177" s="10" t="str">
        <f aca="false">IF(O177="","",O177+10)</f>
        <v/>
      </c>
      <c r="Q177" s="10"/>
    </row>
    <row r="178" customFormat="false" ht="15" hidden="false" customHeight="false" outlineLevel="0" collapsed="false">
      <c r="O178" s="10"/>
      <c r="P178" s="10" t="str">
        <f aca="false">IF(O178="","",O178+10)</f>
        <v/>
      </c>
      <c r="Q178" s="10"/>
    </row>
    <row r="179" customFormat="false" ht="15" hidden="false" customHeight="false" outlineLevel="0" collapsed="false">
      <c r="O179" s="10"/>
      <c r="P179" s="10" t="str">
        <f aca="false">IF(O179="","",O179+10)</f>
        <v/>
      </c>
      <c r="Q179" s="10"/>
    </row>
    <row r="180" customFormat="false" ht="15" hidden="false" customHeight="false" outlineLevel="0" collapsed="false">
      <c r="O180" s="10"/>
      <c r="P180" s="10" t="str">
        <f aca="false">IF(O180="","",O180+10)</f>
        <v/>
      </c>
      <c r="Q180" s="10"/>
    </row>
    <row r="181" customFormat="false" ht="15" hidden="false" customHeight="false" outlineLevel="0" collapsed="false">
      <c r="O181" s="10"/>
      <c r="P181" s="10" t="str">
        <f aca="false">IF(O181="","",O181+10)</f>
        <v/>
      </c>
      <c r="Q181" s="10"/>
    </row>
    <row r="182" customFormat="false" ht="15" hidden="false" customHeight="false" outlineLevel="0" collapsed="false">
      <c r="O182" s="10"/>
      <c r="P182" s="10" t="str">
        <f aca="false">IF(O182="","",O182+10)</f>
        <v/>
      </c>
      <c r="Q182" s="10"/>
    </row>
    <row r="183" customFormat="false" ht="15" hidden="false" customHeight="false" outlineLevel="0" collapsed="false">
      <c r="O183" s="10"/>
      <c r="P183" s="10" t="str">
        <f aca="false">IF(O183="","",O183+10)</f>
        <v/>
      </c>
      <c r="Q183" s="10"/>
    </row>
    <row r="184" customFormat="false" ht="15" hidden="false" customHeight="false" outlineLevel="0" collapsed="false">
      <c r="O184" s="10"/>
      <c r="P184" s="10" t="str">
        <f aca="false">IF(O184="","",O184+10)</f>
        <v/>
      </c>
      <c r="Q184" s="10"/>
    </row>
    <row r="185" customFormat="false" ht="15" hidden="false" customHeight="false" outlineLevel="0" collapsed="false">
      <c r="O185" s="10"/>
      <c r="P185" s="10" t="str">
        <f aca="false">IF(O185="","",O185+10)</f>
        <v/>
      </c>
      <c r="Q185" s="10"/>
    </row>
    <row r="186" customFormat="false" ht="15" hidden="false" customHeight="false" outlineLevel="0" collapsed="false">
      <c r="O186" s="10"/>
      <c r="P186" s="10" t="str">
        <f aca="false">IF(O186="","",O186+10)</f>
        <v/>
      </c>
      <c r="Q186" s="10"/>
    </row>
    <row r="187" customFormat="false" ht="15" hidden="false" customHeight="false" outlineLevel="0" collapsed="false">
      <c r="O187" s="10"/>
      <c r="P187" s="10" t="str">
        <f aca="false">IF(O187="","",O187+10)</f>
        <v/>
      </c>
      <c r="Q187" s="10"/>
    </row>
    <row r="188" customFormat="false" ht="15" hidden="false" customHeight="false" outlineLevel="0" collapsed="false">
      <c r="O188" s="10"/>
      <c r="P188" s="10" t="str">
        <f aca="false">IF(O188="","",O188+10)</f>
        <v/>
      </c>
      <c r="Q188" s="10"/>
    </row>
    <row r="189" customFormat="false" ht="15" hidden="false" customHeight="false" outlineLevel="0" collapsed="false">
      <c r="O189" s="10"/>
      <c r="P189" s="10" t="str">
        <f aca="false">IF(O189="","",O189+10)</f>
        <v/>
      </c>
      <c r="Q189" s="10"/>
    </row>
    <row r="190" customFormat="false" ht="15" hidden="false" customHeight="false" outlineLevel="0" collapsed="false">
      <c r="O190" s="10"/>
      <c r="P190" s="10" t="str">
        <f aca="false">IF(O190="","",O190+10)</f>
        <v/>
      </c>
      <c r="Q190" s="10"/>
    </row>
    <row r="191" customFormat="false" ht="15" hidden="false" customHeight="false" outlineLevel="0" collapsed="false">
      <c r="O191" s="10"/>
      <c r="P191" s="10" t="str">
        <f aca="false">IF(O191="","",O191+10)</f>
        <v/>
      </c>
      <c r="Q191" s="10"/>
    </row>
    <row r="192" customFormat="false" ht="15" hidden="false" customHeight="false" outlineLevel="0" collapsed="false">
      <c r="O192" s="10"/>
      <c r="P192" s="10" t="str">
        <f aca="false">IF(O192="","",O192+10)</f>
        <v/>
      </c>
      <c r="Q192" s="10"/>
    </row>
    <row r="193" customFormat="false" ht="15" hidden="false" customHeight="false" outlineLevel="0" collapsed="false">
      <c r="O193" s="10"/>
      <c r="P193" s="10" t="str">
        <f aca="false">IF(O193="","",O193+10)</f>
        <v/>
      </c>
      <c r="Q193" s="10"/>
    </row>
    <row r="194" customFormat="false" ht="15" hidden="false" customHeight="false" outlineLevel="0" collapsed="false">
      <c r="O194" s="10"/>
      <c r="P194" s="10" t="str">
        <f aca="false">IF(O194="","",O194+10)</f>
        <v/>
      </c>
      <c r="Q194" s="10"/>
    </row>
    <row r="195" customFormat="false" ht="15" hidden="false" customHeight="false" outlineLevel="0" collapsed="false">
      <c r="O195" s="10"/>
      <c r="P195" s="10" t="str">
        <f aca="false">IF(O195="","",O195+10)</f>
        <v/>
      </c>
      <c r="Q195" s="10"/>
    </row>
    <row r="196" customFormat="false" ht="15" hidden="false" customHeight="false" outlineLevel="0" collapsed="false">
      <c r="O196" s="10"/>
      <c r="P196" s="10" t="str">
        <f aca="false">IF(O196="","",O196+10)</f>
        <v/>
      </c>
      <c r="Q196" s="10"/>
    </row>
    <row r="197" customFormat="false" ht="15" hidden="false" customHeight="false" outlineLevel="0" collapsed="false">
      <c r="O197" s="10"/>
      <c r="P197" s="10" t="str">
        <f aca="false">IF(O197="","",O197+10)</f>
        <v/>
      </c>
      <c r="Q197" s="10"/>
    </row>
    <row r="198" customFormat="false" ht="15" hidden="false" customHeight="false" outlineLevel="0" collapsed="false">
      <c r="O198" s="10"/>
      <c r="P198" s="10" t="str">
        <f aca="false">IF(O198="","",O198+10)</f>
        <v/>
      </c>
      <c r="Q198" s="10"/>
    </row>
    <row r="199" customFormat="false" ht="15" hidden="false" customHeight="false" outlineLevel="0" collapsed="false">
      <c r="O199" s="10"/>
      <c r="P199" s="10" t="str">
        <f aca="false">IF(O199="","",O199+10)</f>
        <v/>
      </c>
      <c r="Q199" s="10"/>
    </row>
    <row r="200" customFormat="false" ht="15" hidden="false" customHeight="false" outlineLevel="0" collapsed="false">
      <c r="O200" s="10"/>
      <c r="P200" s="10" t="str">
        <f aca="false">IF(O200="","",O200+10)</f>
        <v/>
      </c>
      <c r="Q200" s="10"/>
    </row>
    <row r="201" customFormat="false" ht="15" hidden="false" customHeight="false" outlineLevel="0" collapsed="false">
      <c r="O201" s="10"/>
      <c r="P201" s="10" t="str">
        <f aca="false">IF(O201="","",O201+10)</f>
        <v/>
      </c>
      <c r="Q201" s="10"/>
    </row>
    <row r="202" customFormat="false" ht="15" hidden="false" customHeight="false" outlineLevel="0" collapsed="false">
      <c r="O202" s="10"/>
      <c r="P202" s="10" t="str">
        <f aca="false">IF(O202="","",O202+10)</f>
        <v/>
      </c>
      <c r="Q202" s="10"/>
    </row>
    <row r="203" customFormat="false" ht="15" hidden="false" customHeight="false" outlineLevel="0" collapsed="false">
      <c r="O203" s="10"/>
      <c r="P203" s="10" t="str">
        <f aca="false">IF(O203="","",O203+10)</f>
        <v/>
      </c>
      <c r="Q203" s="10"/>
    </row>
    <row r="204" customFormat="false" ht="15" hidden="false" customHeight="false" outlineLevel="0" collapsed="false">
      <c r="O204" s="10"/>
      <c r="P204" s="10" t="str">
        <f aca="false">IF(O204="","",O204+10)</f>
        <v/>
      </c>
      <c r="Q204" s="10"/>
    </row>
    <row r="205" customFormat="false" ht="15" hidden="false" customHeight="false" outlineLevel="0" collapsed="false">
      <c r="O205" s="10"/>
      <c r="P205" s="10" t="str">
        <f aca="false">IF(O205="","",O205+10)</f>
        <v/>
      </c>
      <c r="Q205" s="10"/>
    </row>
    <row r="206" customFormat="false" ht="15" hidden="false" customHeight="false" outlineLevel="0" collapsed="false">
      <c r="O206" s="10"/>
      <c r="P206" s="10" t="str">
        <f aca="false">IF(O206="","",O206+10)</f>
        <v/>
      </c>
      <c r="Q206" s="10"/>
    </row>
    <row r="207" customFormat="false" ht="15" hidden="false" customHeight="false" outlineLevel="0" collapsed="false">
      <c r="O207" s="10"/>
      <c r="P207" s="10" t="str">
        <f aca="false">IF(O207="","",O207+10)</f>
        <v/>
      </c>
      <c r="Q207" s="10"/>
    </row>
    <row r="208" customFormat="false" ht="15" hidden="false" customHeight="false" outlineLevel="0" collapsed="false">
      <c r="O208" s="10"/>
      <c r="P208" s="10" t="str">
        <f aca="false">IF(O208="","",O208+10)</f>
        <v/>
      </c>
      <c r="Q208" s="10"/>
    </row>
    <row r="209" customFormat="false" ht="15" hidden="false" customHeight="false" outlineLevel="0" collapsed="false">
      <c r="O209" s="10"/>
      <c r="P209" s="10" t="str">
        <f aca="false">IF(O209="","",O209+10)</f>
        <v/>
      </c>
      <c r="Q209" s="10"/>
    </row>
    <row r="210" customFormat="false" ht="15" hidden="false" customHeight="false" outlineLevel="0" collapsed="false">
      <c r="O210" s="10"/>
      <c r="P210" s="10" t="str">
        <f aca="false">IF(O210="","",O210+10)</f>
        <v/>
      </c>
      <c r="Q210" s="10"/>
    </row>
    <row r="211" customFormat="false" ht="15" hidden="false" customHeight="false" outlineLevel="0" collapsed="false">
      <c r="O211" s="10"/>
      <c r="P211" s="10" t="str">
        <f aca="false">IF(O211="","",O211+10)</f>
        <v/>
      </c>
      <c r="Q211" s="10"/>
    </row>
    <row r="212" customFormat="false" ht="15" hidden="false" customHeight="false" outlineLevel="0" collapsed="false">
      <c r="O212" s="10"/>
      <c r="P212" s="10" t="str">
        <f aca="false">IF(O212="","",O212+10)</f>
        <v/>
      </c>
      <c r="Q212" s="10"/>
    </row>
    <row r="213" customFormat="false" ht="15" hidden="false" customHeight="false" outlineLevel="0" collapsed="false">
      <c r="O213" s="10"/>
      <c r="P213" s="10" t="str">
        <f aca="false">IF(O213="","",O213+10)</f>
        <v/>
      </c>
      <c r="Q213" s="10"/>
    </row>
    <row r="214" customFormat="false" ht="15" hidden="false" customHeight="false" outlineLevel="0" collapsed="false">
      <c r="O214" s="10"/>
      <c r="P214" s="10" t="str">
        <f aca="false">IF(O214="","",O214+10)</f>
        <v/>
      </c>
      <c r="Q214" s="10"/>
    </row>
    <row r="215" customFormat="false" ht="15" hidden="false" customHeight="false" outlineLevel="0" collapsed="false">
      <c r="O215" s="10"/>
      <c r="P215" s="10" t="str">
        <f aca="false">IF(O215="","",O215+10)</f>
        <v/>
      </c>
      <c r="Q215" s="10"/>
    </row>
    <row r="216" customFormat="false" ht="15" hidden="false" customHeight="false" outlineLevel="0" collapsed="false">
      <c r="O216" s="10"/>
      <c r="P216" s="10" t="str">
        <f aca="false">IF(O216="","",O216+10)</f>
        <v/>
      </c>
      <c r="Q216" s="10"/>
    </row>
    <row r="217" customFormat="false" ht="15" hidden="false" customHeight="false" outlineLevel="0" collapsed="false">
      <c r="O217" s="10"/>
      <c r="P217" s="10" t="str">
        <f aca="false">IF(O217="","",O217+10)</f>
        <v/>
      </c>
      <c r="Q217" s="10"/>
    </row>
    <row r="218" customFormat="false" ht="15" hidden="false" customHeight="false" outlineLevel="0" collapsed="false">
      <c r="O218" s="10"/>
      <c r="P218" s="10" t="str">
        <f aca="false">IF(O218="","",O218+10)</f>
        <v/>
      </c>
      <c r="Q218" s="10"/>
    </row>
    <row r="219" customFormat="false" ht="15" hidden="false" customHeight="false" outlineLevel="0" collapsed="false">
      <c r="O219" s="10"/>
      <c r="P219" s="10" t="str">
        <f aca="false">IF(O219="","",O219+10)</f>
        <v/>
      </c>
      <c r="Q219" s="10"/>
    </row>
    <row r="220" customFormat="false" ht="15" hidden="false" customHeight="false" outlineLevel="0" collapsed="false">
      <c r="O220" s="10"/>
      <c r="P220" s="10" t="str">
        <f aca="false">IF(O220="","",O220+10)</f>
        <v/>
      </c>
      <c r="Q220" s="10"/>
    </row>
    <row r="221" customFormat="false" ht="15" hidden="false" customHeight="false" outlineLevel="0" collapsed="false">
      <c r="O221" s="10"/>
      <c r="P221" s="10" t="str">
        <f aca="false">IF(O221="","",O221+10)</f>
        <v/>
      </c>
      <c r="Q221" s="10"/>
    </row>
    <row r="222" customFormat="false" ht="15" hidden="false" customHeight="false" outlineLevel="0" collapsed="false">
      <c r="O222" s="10"/>
      <c r="P222" s="10" t="str">
        <f aca="false">IF(O222="","",O222+10)</f>
        <v/>
      </c>
      <c r="Q222" s="10"/>
    </row>
    <row r="223" customFormat="false" ht="15" hidden="false" customHeight="false" outlineLevel="0" collapsed="false">
      <c r="O223" s="10"/>
      <c r="P223" s="10" t="str">
        <f aca="false">IF(O223="","",O223+10)</f>
        <v/>
      </c>
      <c r="Q223" s="10"/>
    </row>
    <row r="224" customFormat="false" ht="15" hidden="false" customHeight="false" outlineLevel="0" collapsed="false">
      <c r="O224" s="10"/>
      <c r="P224" s="10" t="str">
        <f aca="false">IF(O224="","",O224+10)</f>
        <v/>
      </c>
      <c r="Q224" s="10"/>
    </row>
    <row r="225" customFormat="false" ht="15" hidden="false" customHeight="false" outlineLevel="0" collapsed="false">
      <c r="O225" s="10"/>
      <c r="P225" s="10" t="str">
        <f aca="false">IF(O225="","",O225+10)</f>
        <v/>
      </c>
      <c r="Q225" s="10"/>
    </row>
    <row r="226" customFormat="false" ht="15" hidden="false" customHeight="false" outlineLevel="0" collapsed="false">
      <c r="O226" s="10"/>
      <c r="P226" s="10" t="str">
        <f aca="false">IF(O226="","",O226+10)</f>
        <v/>
      </c>
      <c r="Q226" s="10"/>
    </row>
    <row r="227" customFormat="false" ht="15" hidden="false" customHeight="false" outlineLevel="0" collapsed="false">
      <c r="O227" s="10"/>
      <c r="P227" s="10" t="str">
        <f aca="false">IF(O227="","",O227+10)</f>
        <v/>
      </c>
      <c r="Q227" s="10"/>
    </row>
    <row r="228" customFormat="false" ht="15" hidden="false" customHeight="false" outlineLevel="0" collapsed="false">
      <c r="O228" s="10"/>
      <c r="P228" s="10" t="str">
        <f aca="false">IF(O228="","",O228+10)</f>
        <v/>
      </c>
      <c r="Q228" s="10"/>
    </row>
    <row r="229" customFormat="false" ht="15" hidden="false" customHeight="false" outlineLevel="0" collapsed="false">
      <c r="O229" s="10"/>
      <c r="P229" s="10" t="str">
        <f aca="false">IF(O229="","",O229+10)</f>
        <v/>
      </c>
      <c r="Q229" s="10"/>
    </row>
    <row r="230" customFormat="false" ht="15" hidden="false" customHeight="false" outlineLevel="0" collapsed="false">
      <c r="O230" s="10"/>
      <c r="P230" s="10" t="str">
        <f aca="false">IF(O230="","",O230+10)</f>
        <v/>
      </c>
      <c r="Q230" s="10"/>
    </row>
    <row r="231" customFormat="false" ht="15" hidden="false" customHeight="false" outlineLevel="0" collapsed="false">
      <c r="O231" s="10"/>
      <c r="P231" s="10" t="str">
        <f aca="false">IF(O231="","",O231+10)</f>
        <v/>
      </c>
      <c r="Q231" s="10"/>
    </row>
    <row r="232" customFormat="false" ht="15" hidden="false" customHeight="false" outlineLevel="0" collapsed="false">
      <c r="O232" s="10"/>
      <c r="P232" s="10" t="str">
        <f aca="false">IF(O232="","",O232+10)</f>
        <v/>
      </c>
      <c r="Q232" s="10"/>
    </row>
    <row r="233" customFormat="false" ht="15" hidden="false" customHeight="false" outlineLevel="0" collapsed="false">
      <c r="O233" s="10"/>
      <c r="P233" s="10" t="str">
        <f aca="false">IF(O233="","",O233+10)</f>
        <v/>
      </c>
      <c r="Q233" s="10"/>
    </row>
    <row r="234" customFormat="false" ht="15" hidden="false" customHeight="false" outlineLevel="0" collapsed="false">
      <c r="O234" s="10"/>
      <c r="P234" s="10" t="str">
        <f aca="false">IF(O234="","",O234+10)</f>
        <v/>
      </c>
      <c r="Q234" s="10"/>
    </row>
    <row r="235" customFormat="false" ht="15" hidden="false" customHeight="false" outlineLevel="0" collapsed="false">
      <c r="O235" s="10"/>
      <c r="P235" s="10" t="str">
        <f aca="false">IF(O235="","",O235+10)</f>
        <v/>
      </c>
      <c r="Q235" s="10"/>
    </row>
    <row r="236" customFormat="false" ht="15" hidden="false" customHeight="false" outlineLevel="0" collapsed="false">
      <c r="O236" s="10"/>
      <c r="P236" s="10" t="str">
        <f aca="false">IF(O236="","",O236+10)</f>
        <v/>
      </c>
      <c r="Q236" s="10"/>
    </row>
    <row r="237" customFormat="false" ht="15" hidden="false" customHeight="false" outlineLevel="0" collapsed="false">
      <c r="O237" s="10"/>
      <c r="P237" s="10" t="str">
        <f aca="false">IF(O237="","",O237+10)</f>
        <v/>
      </c>
      <c r="Q237" s="10"/>
    </row>
    <row r="238" customFormat="false" ht="15" hidden="false" customHeight="false" outlineLevel="0" collapsed="false">
      <c r="O238" s="10"/>
      <c r="P238" s="10" t="str">
        <f aca="false">IF(O238="","",O238+10)</f>
        <v/>
      </c>
      <c r="Q238" s="10"/>
    </row>
    <row r="239" customFormat="false" ht="15" hidden="false" customHeight="false" outlineLevel="0" collapsed="false">
      <c r="O239" s="10"/>
      <c r="P239" s="10" t="str">
        <f aca="false">IF(O239="","",O239+10)</f>
        <v/>
      </c>
      <c r="Q239" s="10"/>
    </row>
    <row r="240" customFormat="false" ht="15" hidden="false" customHeight="false" outlineLevel="0" collapsed="false">
      <c r="O240" s="10"/>
      <c r="P240" s="10" t="str">
        <f aca="false">IF(O240="","",O240+10)</f>
        <v/>
      </c>
      <c r="Q240" s="10"/>
    </row>
    <row r="241" customFormat="false" ht="15" hidden="false" customHeight="false" outlineLevel="0" collapsed="false">
      <c r="O241" s="10"/>
      <c r="P241" s="10" t="str">
        <f aca="false">IF(O241="","",O241+10)</f>
        <v/>
      </c>
      <c r="Q241" s="10"/>
    </row>
    <row r="242" customFormat="false" ht="15" hidden="false" customHeight="false" outlineLevel="0" collapsed="false">
      <c r="O242" s="10"/>
      <c r="P242" s="10" t="str">
        <f aca="false">IF(O242="","",O242+10)</f>
        <v/>
      </c>
      <c r="Q242" s="10"/>
    </row>
    <row r="243" customFormat="false" ht="15" hidden="false" customHeight="false" outlineLevel="0" collapsed="false">
      <c r="O243" s="10"/>
      <c r="P243" s="10" t="str">
        <f aca="false">IF(O243="","",O243+10)</f>
        <v/>
      </c>
      <c r="Q243" s="10"/>
    </row>
    <row r="244" customFormat="false" ht="15" hidden="false" customHeight="false" outlineLevel="0" collapsed="false">
      <c r="O244" s="10"/>
      <c r="P244" s="10" t="str">
        <f aca="false">IF(O244="","",O244+10)</f>
        <v/>
      </c>
      <c r="Q244" s="10"/>
    </row>
    <row r="245" customFormat="false" ht="15" hidden="false" customHeight="false" outlineLevel="0" collapsed="false">
      <c r="O245" s="10"/>
      <c r="P245" s="10" t="str">
        <f aca="false">IF(O245="","",O245+10)</f>
        <v/>
      </c>
      <c r="Q245" s="10"/>
    </row>
    <row r="246" customFormat="false" ht="15" hidden="false" customHeight="false" outlineLevel="0" collapsed="false">
      <c r="O246" s="10"/>
      <c r="P246" s="10" t="str">
        <f aca="false">IF(O246="","",O246+10)</f>
        <v/>
      </c>
      <c r="Q246" s="10"/>
    </row>
    <row r="247" customFormat="false" ht="15" hidden="false" customHeight="false" outlineLevel="0" collapsed="false">
      <c r="O247" s="10"/>
      <c r="P247" s="10" t="str">
        <f aca="false">IF(O247="","",O247+10)</f>
        <v/>
      </c>
      <c r="Q247" s="10"/>
    </row>
    <row r="248" customFormat="false" ht="15" hidden="false" customHeight="false" outlineLevel="0" collapsed="false">
      <c r="O248" s="10"/>
      <c r="P248" s="10" t="str">
        <f aca="false">IF(O248="","",O248+10)</f>
        <v/>
      </c>
      <c r="Q248" s="10"/>
    </row>
    <row r="249" customFormat="false" ht="15" hidden="false" customHeight="false" outlineLevel="0" collapsed="false">
      <c r="O249" s="10"/>
      <c r="P249" s="10" t="str">
        <f aca="false">IF(O249="","",O249+10)</f>
        <v/>
      </c>
      <c r="Q249" s="10"/>
    </row>
    <row r="250" customFormat="false" ht="15" hidden="false" customHeight="false" outlineLevel="0" collapsed="false">
      <c r="O250" s="10"/>
      <c r="P250" s="10" t="str">
        <f aca="false">IF(O250="","",O250+10)</f>
        <v/>
      </c>
      <c r="Q250" s="10"/>
    </row>
    <row r="251" customFormat="false" ht="15" hidden="false" customHeight="false" outlineLevel="0" collapsed="false">
      <c r="O251" s="10"/>
      <c r="P251" s="10" t="str">
        <f aca="false">IF(O251="","",O251+10)</f>
        <v/>
      </c>
      <c r="Q251" s="10"/>
    </row>
    <row r="252" customFormat="false" ht="15" hidden="false" customHeight="false" outlineLevel="0" collapsed="false">
      <c r="O252" s="10"/>
      <c r="P252" s="10" t="str">
        <f aca="false">IF(O252="","",O252+10)</f>
        <v/>
      </c>
      <c r="Q252" s="10"/>
    </row>
    <row r="253" customFormat="false" ht="15" hidden="false" customHeight="false" outlineLevel="0" collapsed="false">
      <c r="O253" s="10"/>
      <c r="P253" s="10" t="str">
        <f aca="false">IF(O253="","",O253+10)</f>
        <v/>
      </c>
      <c r="Q253" s="10"/>
    </row>
    <row r="254" customFormat="false" ht="15" hidden="false" customHeight="false" outlineLevel="0" collapsed="false">
      <c r="O254" s="10"/>
      <c r="P254" s="10" t="str">
        <f aca="false">IF(O254="","",O254+10)</f>
        <v/>
      </c>
      <c r="Q254" s="10"/>
    </row>
    <row r="255" customFormat="false" ht="15" hidden="false" customHeight="false" outlineLevel="0" collapsed="false">
      <c r="O255" s="10"/>
      <c r="P255" s="10" t="str">
        <f aca="false">IF(O255="","",O255+10)</f>
        <v/>
      </c>
      <c r="Q255" s="10"/>
    </row>
    <row r="256" customFormat="false" ht="15" hidden="false" customHeight="false" outlineLevel="0" collapsed="false">
      <c r="O256" s="10"/>
      <c r="P256" s="10" t="str">
        <f aca="false">IF(O256="","",O256+10)</f>
        <v/>
      </c>
      <c r="Q256" s="10"/>
    </row>
    <row r="257" customFormat="false" ht="15" hidden="false" customHeight="false" outlineLevel="0" collapsed="false">
      <c r="O257" s="10"/>
      <c r="P257" s="10" t="str">
        <f aca="false">IF(O257="","",O257+10)</f>
        <v/>
      </c>
      <c r="Q257" s="10"/>
    </row>
    <row r="258" customFormat="false" ht="15" hidden="false" customHeight="false" outlineLevel="0" collapsed="false">
      <c r="O258" s="10"/>
      <c r="P258" s="10" t="str">
        <f aca="false">IF(O258="","",O258+10)</f>
        <v/>
      </c>
      <c r="Q258" s="10"/>
    </row>
    <row r="259" customFormat="false" ht="15" hidden="false" customHeight="false" outlineLevel="0" collapsed="false">
      <c r="O259" s="10"/>
      <c r="P259" s="10" t="str">
        <f aca="false">IF(O259="","",O259+10)</f>
        <v/>
      </c>
      <c r="Q259" s="10"/>
    </row>
    <row r="260" customFormat="false" ht="15" hidden="false" customHeight="false" outlineLevel="0" collapsed="false">
      <c r="O260" s="10"/>
      <c r="P260" s="10" t="str">
        <f aca="false">IF(O260="","",O260+10)</f>
        <v/>
      </c>
      <c r="Q260" s="10"/>
    </row>
    <row r="261" customFormat="false" ht="15" hidden="false" customHeight="false" outlineLevel="0" collapsed="false">
      <c r="O261" s="10"/>
      <c r="P261" s="10" t="str">
        <f aca="false">IF(O261="","",O261+10)</f>
        <v/>
      </c>
      <c r="Q261" s="10"/>
    </row>
    <row r="262" customFormat="false" ht="15" hidden="false" customHeight="false" outlineLevel="0" collapsed="false">
      <c r="O262" s="10"/>
      <c r="P262" s="10" t="str">
        <f aca="false">IF(O262="","",O262+10)</f>
        <v/>
      </c>
      <c r="Q262" s="10"/>
    </row>
    <row r="263" customFormat="false" ht="15" hidden="false" customHeight="false" outlineLevel="0" collapsed="false">
      <c r="O263" s="10"/>
      <c r="P263" s="10" t="str">
        <f aca="false">IF(O263="","",O263+10)</f>
        <v/>
      </c>
      <c r="Q263" s="10"/>
    </row>
    <row r="264" customFormat="false" ht="15" hidden="false" customHeight="false" outlineLevel="0" collapsed="false">
      <c r="O264" s="10"/>
      <c r="P264" s="10" t="str">
        <f aca="false">IF(O264="","",O264+10)</f>
        <v/>
      </c>
      <c r="Q264" s="10"/>
    </row>
    <row r="265" customFormat="false" ht="15" hidden="false" customHeight="false" outlineLevel="0" collapsed="false">
      <c r="O265" s="10"/>
      <c r="P265" s="10" t="str">
        <f aca="false">IF(O265="","",O265+10)</f>
        <v/>
      </c>
      <c r="Q265" s="10"/>
    </row>
    <row r="266" customFormat="false" ht="15" hidden="false" customHeight="false" outlineLevel="0" collapsed="false">
      <c r="O266" s="10"/>
      <c r="P266" s="10" t="str">
        <f aca="false">IF(O266="","",O266+10)</f>
        <v/>
      </c>
      <c r="Q266" s="10"/>
    </row>
    <row r="267" customFormat="false" ht="15" hidden="false" customHeight="false" outlineLevel="0" collapsed="false">
      <c r="O267" s="10"/>
      <c r="P267" s="10" t="str">
        <f aca="false">IF(O267="","",O267+10)</f>
        <v/>
      </c>
      <c r="Q267" s="10"/>
    </row>
    <row r="268" customFormat="false" ht="15" hidden="false" customHeight="false" outlineLevel="0" collapsed="false">
      <c r="O268" s="10"/>
      <c r="P268" s="10" t="str">
        <f aca="false">IF(O268="","",O268+10)</f>
        <v/>
      </c>
      <c r="Q268" s="10"/>
    </row>
    <row r="269" customFormat="false" ht="15" hidden="false" customHeight="false" outlineLevel="0" collapsed="false">
      <c r="O269" s="10"/>
      <c r="P269" s="10" t="str">
        <f aca="false">IF(O269="","",O269+10)</f>
        <v/>
      </c>
      <c r="Q269" s="10"/>
    </row>
    <row r="270" customFormat="false" ht="15" hidden="false" customHeight="false" outlineLevel="0" collapsed="false">
      <c r="O270" s="10"/>
      <c r="P270" s="10" t="str">
        <f aca="false">IF(O270="","",O270+10)</f>
        <v/>
      </c>
      <c r="Q270" s="10"/>
    </row>
    <row r="271" customFormat="false" ht="15" hidden="false" customHeight="false" outlineLevel="0" collapsed="false">
      <c r="O271" s="10"/>
      <c r="P271" s="10" t="str">
        <f aca="false">IF(O271="","",O271+10)</f>
        <v/>
      </c>
      <c r="Q271" s="10"/>
    </row>
    <row r="272" customFormat="false" ht="15" hidden="false" customHeight="false" outlineLevel="0" collapsed="false">
      <c r="O272" s="10"/>
      <c r="P272" s="10" t="str">
        <f aca="false">IF(O272="","",O272+10)</f>
        <v/>
      </c>
      <c r="Q272" s="10"/>
    </row>
    <row r="273" customFormat="false" ht="15" hidden="false" customHeight="false" outlineLevel="0" collapsed="false">
      <c r="O273" s="10"/>
      <c r="P273" s="10" t="str">
        <f aca="false">IF(O273="","",O273+10)</f>
        <v/>
      </c>
      <c r="Q273" s="10"/>
    </row>
    <row r="274" customFormat="false" ht="15" hidden="false" customHeight="false" outlineLevel="0" collapsed="false">
      <c r="O274" s="10"/>
      <c r="P274" s="10" t="str">
        <f aca="false">IF(O274="","",O274+10)</f>
        <v/>
      </c>
      <c r="Q274" s="10"/>
    </row>
    <row r="275" customFormat="false" ht="15" hidden="false" customHeight="false" outlineLevel="0" collapsed="false">
      <c r="O275" s="10"/>
      <c r="P275" s="10" t="str">
        <f aca="false">IF(O275="","",O275+10)</f>
        <v/>
      </c>
      <c r="Q275" s="10"/>
    </row>
    <row r="276" customFormat="false" ht="15" hidden="false" customHeight="false" outlineLevel="0" collapsed="false">
      <c r="O276" s="10"/>
      <c r="P276" s="10" t="str">
        <f aca="false">IF(O276="","",O276+10)</f>
        <v/>
      </c>
      <c r="Q276" s="10"/>
    </row>
    <row r="277" customFormat="false" ht="15" hidden="false" customHeight="false" outlineLevel="0" collapsed="false">
      <c r="O277" s="10"/>
      <c r="P277" s="10" t="str">
        <f aca="false">IF(O277="","",O277+10)</f>
        <v/>
      </c>
      <c r="Q277" s="10"/>
    </row>
    <row r="278" customFormat="false" ht="15" hidden="false" customHeight="false" outlineLevel="0" collapsed="false">
      <c r="O278" s="10"/>
      <c r="P278" s="10" t="str">
        <f aca="false">IF(O278="","",O278+10)</f>
        <v/>
      </c>
      <c r="Q278" s="10"/>
    </row>
    <row r="279" customFormat="false" ht="15" hidden="false" customHeight="false" outlineLevel="0" collapsed="false">
      <c r="O279" s="10"/>
      <c r="P279" s="10" t="str">
        <f aca="false">IF(O279="","",O279+10)</f>
        <v/>
      </c>
      <c r="Q279" s="10"/>
    </row>
    <row r="280" customFormat="false" ht="15" hidden="false" customHeight="false" outlineLevel="0" collapsed="false">
      <c r="O280" s="10"/>
      <c r="P280" s="10" t="str">
        <f aca="false">IF(O280="","",O280+10)</f>
        <v/>
      </c>
      <c r="Q280" s="10"/>
    </row>
    <row r="281" customFormat="false" ht="15" hidden="false" customHeight="false" outlineLevel="0" collapsed="false">
      <c r="O281" s="10"/>
      <c r="P281" s="10" t="str">
        <f aca="false">IF(O281="","",O281+10)</f>
        <v/>
      </c>
      <c r="Q281" s="10"/>
    </row>
    <row r="282" customFormat="false" ht="15" hidden="false" customHeight="false" outlineLevel="0" collapsed="false">
      <c r="O282" s="10"/>
      <c r="P282" s="10" t="str">
        <f aca="false">IF(O282="","",O282+10)</f>
        <v/>
      </c>
      <c r="Q282" s="10"/>
    </row>
    <row r="283" customFormat="false" ht="15" hidden="false" customHeight="false" outlineLevel="0" collapsed="false">
      <c r="O283" s="10"/>
      <c r="P283" s="10" t="str">
        <f aca="false">IF(O283="","",O283+10)</f>
        <v/>
      </c>
      <c r="Q283" s="10"/>
    </row>
    <row r="284" customFormat="false" ht="15" hidden="false" customHeight="false" outlineLevel="0" collapsed="false">
      <c r="O284" s="10"/>
      <c r="P284" s="10" t="str">
        <f aca="false">IF(O284="","",O284+10)</f>
        <v/>
      </c>
      <c r="Q284" s="10"/>
    </row>
    <row r="285" customFormat="false" ht="15" hidden="false" customHeight="false" outlineLevel="0" collapsed="false">
      <c r="O285" s="10"/>
      <c r="P285" s="10" t="str">
        <f aca="false">IF(O285="","",O285+10)</f>
        <v/>
      </c>
      <c r="Q285" s="10"/>
    </row>
    <row r="286" customFormat="false" ht="15" hidden="false" customHeight="false" outlineLevel="0" collapsed="false">
      <c r="O286" s="10"/>
      <c r="P286" s="10" t="str">
        <f aca="false">IF(O286="","",O286+10)</f>
        <v/>
      </c>
      <c r="Q286" s="10"/>
    </row>
    <row r="287" customFormat="false" ht="15" hidden="false" customHeight="false" outlineLevel="0" collapsed="false">
      <c r="O287" s="10"/>
      <c r="P287" s="10" t="str">
        <f aca="false">IF(O287="","",O287+10)</f>
        <v/>
      </c>
      <c r="Q287" s="10"/>
    </row>
    <row r="288" customFormat="false" ht="15" hidden="false" customHeight="false" outlineLevel="0" collapsed="false">
      <c r="O288" s="10"/>
      <c r="P288" s="10" t="str">
        <f aca="false">IF(O288="","",O288+10)</f>
        <v/>
      </c>
      <c r="Q288" s="10"/>
    </row>
    <row r="289" customFormat="false" ht="15" hidden="false" customHeight="false" outlineLevel="0" collapsed="false">
      <c r="O289" s="10"/>
      <c r="P289" s="10" t="str">
        <f aca="false">IF(O289="","",O289+10)</f>
        <v/>
      </c>
      <c r="Q289" s="10"/>
    </row>
    <row r="290" customFormat="false" ht="15" hidden="false" customHeight="false" outlineLevel="0" collapsed="false">
      <c r="O290" s="10"/>
      <c r="P290" s="10" t="str">
        <f aca="false">IF(O290="","",O290+10)</f>
        <v/>
      </c>
      <c r="Q290" s="10"/>
    </row>
    <row r="291" customFormat="false" ht="15" hidden="false" customHeight="false" outlineLevel="0" collapsed="false">
      <c r="O291" s="10"/>
      <c r="P291" s="10" t="str">
        <f aca="false">IF(O291="","",O291+10)</f>
        <v/>
      </c>
      <c r="Q291" s="10"/>
    </row>
    <row r="292" customFormat="false" ht="15" hidden="false" customHeight="false" outlineLevel="0" collapsed="false">
      <c r="O292" s="10"/>
      <c r="P292" s="10" t="str">
        <f aca="false">IF(O292="","",O292+10)</f>
        <v/>
      </c>
      <c r="Q292" s="10"/>
    </row>
    <row r="293" customFormat="false" ht="15" hidden="false" customHeight="false" outlineLevel="0" collapsed="false">
      <c r="O293" s="10"/>
      <c r="P293" s="10" t="str">
        <f aca="false">IF(O293="","",O293+10)</f>
        <v/>
      </c>
      <c r="Q293" s="10"/>
    </row>
    <row r="294" customFormat="false" ht="15" hidden="false" customHeight="false" outlineLevel="0" collapsed="false">
      <c r="O294" s="10"/>
      <c r="P294" s="10" t="str">
        <f aca="false">IF(O294="","",O294+10)</f>
        <v/>
      </c>
      <c r="Q294" s="10"/>
    </row>
    <row r="295" customFormat="false" ht="15" hidden="false" customHeight="false" outlineLevel="0" collapsed="false">
      <c r="O295" s="10"/>
      <c r="P295" s="10" t="str">
        <f aca="false">IF(O295="","",O295+10)</f>
        <v/>
      </c>
      <c r="Q295" s="10"/>
    </row>
    <row r="296" customFormat="false" ht="15" hidden="false" customHeight="false" outlineLevel="0" collapsed="false">
      <c r="O296" s="10"/>
      <c r="P296" s="10" t="str">
        <f aca="false">IF(O296="","",O296+10)</f>
        <v/>
      </c>
      <c r="Q296" s="10"/>
    </row>
    <row r="297" customFormat="false" ht="15" hidden="false" customHeight="false" outlineLevel="0" collapsed="false">
      <c r="O297" s="10"/>
      <c r="P297" s="10" t="str">
        <f aca="false">IF(O297="","",O297+10)</f>
        <v/>
      </c>
      <c r="Q297" s="10"/>
    </row>
    <row r="298" customFormat="false" ht="15" hidden="false" customHeight="false" outlineLevel="0" collapsed="false">
      <c r="O298" s="10"/>
      <c r="P298" s="10" t="str">
        <f aca="false">IF(O298="","",O298+10)</f>
        <v/>
      </c>
      <c r="Q298" s="10"/>
    </row>
    <row r="299" customFormat="false" ht="15" hidden="false" customHeight="false" outlineLevel="0" collapsed="false">
      <c r="O299" s="10"/>
      <c r="P299" s="10" t="str">
        <f aca="false">IF(O299="","",O299+10)</f>
        <v/>
      </c>
      <c r="Q299" s="10"/>
    </row>
    <row r="300" customFormat="false" ht="15" hidden="false" customHeight="false" outlineLevel="0" collapsed="false">
      <c r="O300" s="10"/>
      <c r="P300" s="10" t="str">
        <f aca="false">IF(O300="","",O300+10)</f>
        <v/>
      </c>
      <c r="Q300" s="10"/>
    </row>
  </sheetData>
  <autoFilter ref="A4:U36"/>
  <mergeCells count="3">
    <mergeCell ref="A1:U1"/>
    <mergeCell ref="A2:U2"/>
    <mergeCell ref="A3:U3"/>
  </mergeCells>
  <conditionalFormatting sqref="A5:U300">
    <cfRule type="expression" priority="2" aboveAverage="0" equalAverage="0" bottom="0" percent="0" rank="0" text="" dxfId="9">
      <formula>$N5="Pré-embauche confirmée"</formula>
    </cfRule>
    <cfRule type="expression" priority="3" aboveAverage="0" equalAverage="0" bottom="0" percent="0" rank="0" text="" dxfId="10">
      <formula>$N5="Stage obtenu"</formula>
    </cfRule>
    <cfRule type="expression" priority="4" aboveAverage="0" equalAverage="0" bottom="0" percent="0" rank="0" text="" dxfId="11">
      <formula>$N5="Entretien prévu"</formula>
    </cfRule>
    <cfRule type="expression" priority="5" aboveAverage="0" equalAverage="0" bottom="0" percent="0" rank="0" text="" dxfId="12">
      <formula>$N5="Relance à faire"</formula>
    </cfRule>
    <cfRule type="expression" priority="6" aboveAverage="0" equalAverage="0" bottom="0" percent="0" rank="0" text="" dxfId="13">
      <formula>$N5="Candidature envoyée"</formula>
    </cfRule>
    <cfRule type="expression" priority="7" aboveAverage="0" equalAverage="0" bottom="0" percent="0" rank="0" text="" dxfId="14">
      <formula>$N5="En attente"</formula>
    </cfRule>
    <cfRule type="expression" priority="8" aboveAverage="0" equalAverage="0" bottom="0" percent="0" rank="0" text="" dxfId="15">
      <formula>$N5="Refus"</formula>
    </cfRule>
    <cfRule type="expression" priority="9" aboveAverage="0" equalAverage="0" bottom="0" percent="0" rank="0" text="" dxfId="16">
      <formula>$N5="À vérifier"</formula>
    </cfRule>
  </conditionalFormatting>
  <conditionalFormatting sqref="P5:P300">
    <cfRule type="expression" priority="10" aboveAverage="0" equalAverage="0" bottom="0" percent="0" rank="0" text="" dxfId="17">
      <formula>AND(P5&lt;&gt;"",P5&lt;=TODAY(),OR($N5="Candidature envoyée",$N5="En attente"))</formula>
    </cfRule>
  </conditionalFormatting>
  <conditionalFormatting sqref="H5:H300">
    <cfRule type="cellIs" priority="11" operator="equal" aboveAverage="0" equalAverage="0" bottom="0" percent="0" rank="0" text="" dxfId="17">
      <formula>"1 - Haute"</formula>
    </cfRule>
    <cfRule type="cellIs" priority="12" operator="equal" aboveAverage="0" equalAverage="0" bottom="0" percent="0" rank="0" text="" dxfId="18">
      <formula>"2 - Moyenne"</formula>
    </cfRule>
    <cfRule type="cellIs" priority="13" operator="equal" aboveAverage="0" equalAverage="0" bottom="0" percent="0" rank="0" text="" dxfId="19">
      <formula>"3 - Basse"</formula>
    </cfRule>
  </conditionalFormatting>
  <conditionalFormatting sqref="U5:U300">
    <cfRule type="cellIs" priority="14" operator="equal" aboveAverage="0" equalAverage="0" bottom="0" percent="0" rank="0" text="" dxfId="20">
      <formula>"Oui"</formula>
    </cfRule>
  </conditionalFormatting>
  <dataValidations count="6">
    <dataValidation allowBlank="true" errorStyle="stop" operator="between" prompt="Statut de la candidature" promptTitle="Choisir" showDropDown="false" showErrorMessage="false" showInputMessage="true" sqref="N5:N300" type="list">
      <formula1>Listes!$A$1:$A$10</formula1>
      <formula2>0</formula2>
    </dataValidation>
    <dataValidation allowBlank="true" errorStyle="stop" operator="between" prompt="Priorité" promptTitle="Choisir" showDropDown="false" showErrorMessage="false" showInputMessage="true" sqref="H5:H300" type="list">
      <formula1>Listes!$B$1:$B$3</formula1>
      <formula2>0</formula2>
    </dataValidation>
    <dataValidation allowBlank="true" errorStyle="stop" operator="between" prompt="Possibilité de pré-embauche" promptTitle="Choisir" showDropDown="false" showErrorMessage="false" showInputMessage="true" sqref="R5:R300" type="list">
      <formula1>Listes!$C$1:$C$4</formula1>
      <formula2>0</formula2>
    </dataValidation>
    <dataValidation allowBlank="true" errorStyle="stop" operator="between" prompt="Version du CV" promptTitle="Choisir" showDropDown="false" showErrorMessage="false" showInputMessage="true" sqref="G5:G300" type="list">
      <formula1>Listes!$D$1:$D$4</formula1>
      <formula2>0</formula2>
    </dataValidation>
    <dataValidation allowBlank="true" errorStyle="stop" operator="between" prompt="Offre vue en ligne et non expirée ?" promptTitle="Choisir" showDropDown="false" showErrorMessage="false" showInputMessage="true" sqref="U5:U300" type="list">
      <formula1>Listes!$E$1:$E$2</formula1>
      <formula2>0</formula2>
    </dataValidation>
    <dataValidation allowBlank="true" error="Saisir une date (jj/mm/aaaa)" errorStyle="stop" operator="greaterThan" showDropDown="false" showErrorMessage="false" showInputMessage="false" sqref="O5:Q300" type="date">
      <formula1>44927</formula1>
      <formula2>0</formula2>
    </dataValidation>
  </dataValidations>
  <hyperlinks>
    <hyperlink ref="L5" r:id="rId2" display="https://expleo.com/global/en/careers/"/>
    <hyperlink ref="L6" r:id="rId3" display="https://careers.te.com/job/Tanger-Finance-Development-Program-Trainee-%28mfd%29-TNG-9000/1259786700"/>
    <hyperlink ref="L7" r:id="rId4" display="https://www.iagora.com/work/fr/offre/stage-maroc-management/5984409"/>
    <hyperlink ref="L8" r:id="rId5" display="https://www.iagora.com/work/fr/offre/stage-maroc-achats/5678271"/>
    <hyperlink ref="L9" r:id="rId6" display="https://ma.indeed.com/cmp/Valeo-Maroc/about"/>
    <hyperlink ref="L10" r:id="rId7" display="https://www.dreamjob.ma/emploi/tanger-med-port-authority-candidature-spontanee/"/>
    <hyperlink ref="L11" r:id="rId8" display="https://www.dreamjob.ma/a-la-une/stages-ouverts-a-tanger-med-chez-apm-terminals/"/>
    <hyperlink ref="L12" r:id="rId9" display="https://ma.indeed.com/cmp/Opmobility/jobs"/>
    <hyperlink ref="L13" r:id="rId10" display="https://www.trigo-group.com"/>
    <hyperlink ref="L14" r:id="rId11" display="https://www.dreamjob.ma/stage/orhan-automotive-lance-une-campagne-de-recrutement-de-stagiaires-a-tanger/"/>
    <hyperlink ref="L15" r:id="rId12" display="https://www.dreamjob.ma/emploi/ti-fluid-systems-recrute-plusieurs-postes/"/>
    <hyperlink ref="L16" r:id="rId13" display="https://www.dreamjob.ma/emploi/yazaki-maroc-recrute/"/>
    <hyperlink ref="L17" r:id="rId14" display="https://bcp-cand.talent-soft.com/offre-de-emploi/imprimer-fiche-emploi-candidatures-spontanees-stage-pfe-2027-bac-5-h-f_1672.aspx"/>
    <hyperlink ref="L18" r:id="rId15" display="https://carriere.creditdumaroc.ma/Pages/Offre/detailoffre.aspx?LCID=1036&amp;idOffre=3211&amp;idOrigine=502&amp;offerReference=2025-3211"/>
    <hyperlink ref="L19" r:id="rId16" display="https://carriere.creditdumaroc.ma/offre-de-emploi/emploi-stage-pfe-analyste-d-affaires-grand-casablanca-el-jadida-rabat-kenitra-temara-tanger-tetouan_3197.aspx"/>
    <hyperlink ref="L20" r:id="rId17" display="https://www.rekrute.com/offre-emploi-stagiaire-pfe---campagne-2026-hf---finance-audit---commercial-recrutement-saham-bank-casablanca-178707.html"/>
    <hyperlink ref="L21" r:id="rId18" display="https://www.attijariwafabank.com"/>
    <hyperlink ref="L22" r:id="rId19" display="https://www.dreamjob.ma/stage/coface-ouvre-des-stages-en-data-et-intelligence-artificielle-a-casablanca/"/>
    <hyperlink ref="L23" r:id="rId20" display="https://www.dreamjob.ma/stage/coface-recrute-stagiaires/"/>
    <hyperlink ref="L24" r:id="rId21" display="https://www.dreamjob.ma/stage/axa-assurance-recrutement-stagiaires/"/>
    <hyperlink ref="L25" r:id="rId22" display="https://www.dreamjob.ma/emploi/finance-data-et-it-wafa-assurance-recrute-a-casablanca-et-fes/"/>
    <hyperlink ref="L26" r:id="rId23" display="https://www.atlantasanad.ma"/>
    <hyperlink ref="L27" r:id="rId24" display="https://www.dreamjob.ma/emploi/opportunites-a-saisir-chez-rma-a-casablanca/"/>
    <hyperlink ref="L28" r:id="rId25" display="https://bghit-nekhdem.com/sanlam-maroc-lance-sa-campagne-de-recrutement-de-stagiaires-pfe-2025/"/>
    <hyperlink ref="L29" r:id="rId26" display="https://www.dreamjob.ma/stage/allianz-assurances-recrute-stagiaires-actuariat-vie-sante/"/>
    <hyperlink ref="L30" r:id="rId27" display="https://ma.indeed.com/Maroc-emplois-Stage-Finance"/>
    <hyperlink ref="L31" r:id="rId28" display="https://emplois-afrique.kpmg.com/emploi/casablanca/auditeur-moroccan-market-stage-pfe-f-h/3358/31698089856"/>
    <hyperlink ref="L32" r:id="rId29" display="https://www.dreamjob.ma/stage/deloitte-maroc-lance-sa-campagne-de-stages-audit-pfe-2026/"/>
    <hyperlink ref="L33" r:id="rId30" display="https://www.dreamjob.ma/emploi/stagiaires-pfe-en-tax-recherches-par-pwc-maroc/"/>
    <hyperlink ref="L34" r:id="rId31" display="https://www.ey.com"/>
    <hyperlink ref="L35" r:id="rId32" display="https://www.dreamjob.ma/stage/bdo-maroc-recherche-des-stagiaires-pfe-en-audi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
  <legacyDrawing r:id="rId3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766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16"/>
    <col collapsed="false" customWidth="true" hidden="false" outlineLevel="0" max="4" min="4" style="0" width="4"/>
    <col collapsed="false" customWidth="true" hidden="false" outlineLevel="0" max="5" min="5" style="0" width="30"/>
    <col collapsed="false" customWidth="true" hidden="false" outlineLevel="0" max="7" min="6" style="0" width="14"/>
    <col collapsed="false" customWidth="true" hidden="false" outlineLevel="0" max="8" min="8" style="0" width="4"/>
  </cols>
  <sheetData>
    <row r="1" customFormat="false" ht="33.75" hidden="false" customHeight="true" outlineLevel="0" collapsed="false">
      <c r="A1" s="1" t="s">
        <v>298</v>
      </c>
      <c r="B1" s="1"/>
      <c r="C1" s="1"/>
      <c r="D1" s="1"/>
      <c r="E1" s="1"/>
      <c r="F1" s="1"/>
      <c r="G1" s="1"/>
      <c r="H1" s="1"/>
    </row>
    <row r="2" customFormat="false" ht="30" hidden="false" customHeight="true" outlineLevel="0" collapsed="false">
      <c r="A2" s="2" t="s">
        <v>299</v>
      </c>
      <c r="B2" s="2"/>
      <c r="C2" s="2"/>
      <c r="D2" s="2"/>
      <c r="E2" s="2"/>
      <c r="F2" s="2"/>
      <c r="G2" s="2"/>
      <c r="H2" s="2"/>
    </row>
    <row r="4" customFormat="false" ht="15" hidden="false" customHeight="false" outlineLevel="0" collapsed="false">
      <c r="B4" s="11" t="s">
        <v>300</v>
      </c>
      <c r="C4" s="11" t="s">
        <v>301</v>
      </c>
      <c r="E4" s="12" t="s">
        <v>302</v>
      </c>
      <c r="F4" s="12" t="s">
        <v>303</v>
      </c>
    </row>
    <row r="5" customFormat="false" ht="33.75" hidden="false" customHeight="true" outlineLevel="0" collapsed="false">
      <c r="B5" s="13" t="s">
        <v>304</v>
      </c>
      <c r="C5" s="14" t="n">
        <f aca="false">SUMPRODUCT(('Suivi des candidatures'!$A$5:$A$300&lt;&gt;"")/COUNTIF('Suivi des candidatures'!$A$5:$A$300,'Suivi des candidatures'!$A$5:$A$300&amp;""))</f>
        <v>30</v>
      </c>
      <c r="E5" s="15" t="s">
        <v>50</v>
      </c>
      <c r="F5" s="16" t="n">
        <f aca="false">COUNTIF('Suivi des candidatures'!$N$5:$N$300,E5)</f>
        <v>25</v>
      </c>
    </row>
    <row r="6" customFormat="false" ht="33.75" hidden="false" customHeight="true" outlineLevel="0" collapsed="false">
      <c r="B6" s="13" t="s">
        <v>305</v>
      </c>
      <c r="C6" s="17" t="n">
        <f aca="false">COUNTA('Suivi des candidatures'!$A$5:$A$300)</f>
        <v>32</v>
      </c>
      <c r="E6" s="15" t="s">
        <v>36</v>
      </c>
      <c r="F6" s="16" t="n">
        <f aca="false">COUNTIF('Suivi des candidatures'!$N$5:$N$300,E6)</f>
        <v>3</v>
      </c>
    </row>
    <row r="7" customFormat="false" ht="33.75" hidden="false" customHeight="true" outlineLevel="0" collapsed="false">
      <c r="B7" s="13" t="s">
        <v>306</v>
      </c>
      <c r="C7" s="18" t="n">
        <f aca="false">COUNTIF('Suivi des candidatures'!$U$5:$U$300,"Oui")</f>
        <v>3</v>
      </c>
      <c r="E7" s="15" t="s">
        <v>90</v>
      </c>
      <c r="F7" s="16" t="n">
        <f aca="false">COUNTIF('Suivi des candidatures'!$N$5:$N$300,E7)</f>
        <v>4</v>
      </c>
    </row>
    <row r="8" customFormat="false" ht="33.75" hidden="false" customHeight="true" outlineLevel="0" collapsed="false">
      <c r="B8" s="13" t="s">
        <v>307</v>
      </c>
      <c r="C8" s="19" t="n">
        <f aca="false">COUNTIF('Suivi des candidatures'!$N$5:$N$300,"Candidature envoyée")+COUNTIF('Suivi des candidatures'!$N$5:$N$300,"Relance à faire")+COUNTIF('Suivi des candidatures'!$N$5:$N$300,"Entretien prévu")+COUNTIF('Suivi des candidatures'!$N$5:$N$300,"En attente")+COUNTIF('Suivi des candidatures'!$N$5:$N$300,"Refus")+COUNTIF('Suivi des candidatures'!$N$5:$N$300,"Stage obtenu")+COUNTIF('Suivi des candidatures'!$N$5:$N$300,"Pré-embauche confirmée")</f>
        <v>0</v>
      </c>
      <c r="E8" s="15" t="s">
        <v>308</v>
      </c>
      <c r="F8" s="16" t="n">
        <f aca="false">COUNTIF('Suivi des candidatures'!$N$5:$N$300,E8)</f>
        <v>0</v>
      </c>
    </row>
    <row r="9" customFormat="false" ht="33.75" hidden="false" customHeight="true" outlineLevel="0" collapsed="false">
      <c r="B9" s="13" t="s">
        <v>309</v>
      </c>
      <c r="C9" s="20" t="n">
        <f aca="true">COUNTIF('Suivi des candidatures'!$N$5:$N$300,"Relance à faire")+COUNTIFS('Suivi des candidatures'!$N$5:$N$300,"Candidature envoyée",'Suivi des candidatures'!$P$5:$P$300,"&lt;="&amp;TODAY())+COUNTIFS('Suivi des candidatures'!$N$5:$N$300,"En attente",'Suivi des candidatures'!$P$5:$P$300,"&lt;="&amp;TODAY())</f>
        <v>0</v>
      </c>
      <c r="E9" s="15" t="s">
        <v>310</v>
      </c>
      <c r="F9" s="16" t="n">
        <f aca="false">COUNTIF('Suivi des candidatures'!$N$5:$N$300,E9)</f>
        <v>0</v>
      </c>
    </row>
    <row r="10" customFormat="false" ht="33.75" hidden="false" customHeight="true" outlineLevel="0" collapsed="false">
      <c r="B10" s="13" t="s">
        <v>311</v>
      </c>
      <c r="C10" s="21" t="n">
        <f aca="false">COUNTIF('Suivi des candidatures'!$N$5:$N$300,"Entretien prévu")</f>
        <v>0</v>
      </c>
      <c r="E10" s="15" t="s">
        <v>312</v>
      </c>
      <c r="F10" s="16" t="n">
        <f aca="false">COUNTIF('Suivi des candidatures'!$N$5:$N$300,E10)</f>
        <v>0</v>
      </c>
    </row>
    <row r="11" customFormat="false" ht="33.75" hidden="false" customHeight="true" outlineLevel="0" collapsed="false">
      <c r="B11" s="13" t="s">
        <v>313</v>
      </c>
      <c r="C11" s="22" t="n">
        <f aca="false">COUNTIF('Suivi des candidatures'!$N$5:$N$300,"Stage obtenu")+COUNTIF('Suivi des candidatures'!$N$5:$N$300,"Pré-embauche confirmée")</f>
        <v>0</v>
      </c>
      <c r="E11" s="15" t="s">
        <v>314</v>
      </c>
      <c r="F11" s="16" t="n">
        <f aca="false">COUNTIF('Suivi des candidatures'!$N$5:$N$300,E11)</f>
        <v>0</v>
      </c>
    </row>
    <row r="12" customFormat="false" ht="33.75" hidden="false" customHeight="true" outlineLevel="0" collapsed="false">
      <c r="B12" s="13" t="s">
        <v>315</v>
      </c>
      <c r="C12" s="23" t="n">
        <f aca="false">COUNTIF('Suivi des candidatures'!$N$5:$N$300,"Pré-embauche confirmée")</f>
        <v>0</v>
      </c>
      <c r="E12" s="15" t="s">
        <v>316</v>
      </c>
      <c r="F12" s="16" t="n">
        <f aca="false">COUNTIF('Suivi des candidatures'!$N$5:$N$300,E12)</f>
        <v>0</v>
      </c>
    </row>
    <row r="13" customFormat="false" ht="33.75" hidden="false" customHeight="true" outlineLevel="0" collapsed="false">
      <c r="B13" s="13" t="s">
        <v>317</v>
      </c>
      <c r="C13" s="24" t="n">
        <f aca="false">IFERROR((COUNTIF('Suivi des candidatures'!$N$5:$N$300,"Entretien prévu")+COUNTIF('Suivi des candidatures'!$N$5:$N$300,"Refus")+COUNTIF('Suivi des candidatures'!$N$5:$N$300,"Stage obtenu")+COUNTIF('Suivi des candidatures'!$N$5:$N$300,"Pré-embauche confirmée"))/C8,0)</f>
        <v>0</v>
      </c>
      <c r="E13" s="15" t="s">
        <v>318</v>
      </c>
      <c r="F13" s="16" t="n">
        <f aca="false">COUNTIF('Suivi des candidatures'!$N$5:$N$300,E13)</f>
        <v>0</v>
      </c>
    </row>
    <row r="14" customFormat="false" ht="15" hidden="false" customHeight="true" outlineLevel="0" collapsed="false">
      <c r="B14" s="25" t="s">
        <v>319</v>
      </c>
      <c r="C14" s="25"/>
      <c r="E14" s="15" t="s">
        <v>320</v>
      </c>
      <c r="F14" s="16" t="n">
        <f aca="false">COUNTIF('Suivi des candidatures'!$N$5:$N$300,E14)</f>
        <v>0</v>
      </c>
    </row>
    <row r="15" customFormat="false" ht="15" hidden="false" customHeight="false" outlineLevel="0" collapsed="false">
      <c r="B15" s="25"/>
      <c r="C15" s="25"/>
    </row>
    <row r="16" customFormat="false" ht="15" hidden="false" customHeight="false" outlineLevel="0" collapsed="false">
      <c r="B16" s="26" t="s">
        <v>321</v>
      </c>
      <c r="E16" s="12" t="s">
        <v>322</v>
      </c>
      <c r="F16" s="12" t="s">
        <v>323</v>
      </c>
      <c r="G16" s="12" t="s">
        <v>324</v>
      </c>
    </row>
    <row r="17" customFormat="false" ht="15" hidden="false" customHeight="false" outlineLevel="0" collapsed="false">
      <c r="B17" s="27" t="s">
        <v>325</v>
      </c>
      <c r="C17" s="28" t="n">
        <v>25</v>
      </c>
      <c r="E17" s="15" t="s">
        <v>31</v>
      </c>
      <c r="F17" s="29" t="n">
        <f aca="false">COUNTIF('Suivi des candidatures'!$H$5:$H$300,E17)</f>
        <v>12</v>
      </c>
      <c r="G17" s="29" t="n">
        <f aca="false">COUNTIFS('Suivi des candidatures'!$H$5:$H$300,E17,'Suivi des candidatures'!$N$5:$N$300,"Candidature envoyée")+COUNTIFS('Suivi des candidatures'!$H$5:$H$300,E17,'Suivi des candidatures'!$N$5:$N$300,"Relance à faire")+COUNTIFS('Suivi des candidatures'!$H$5:$H$300,E17,'Suivi des candidatures'!$N$5:$N$300,"Entretien prévu")+COUNTIFS('Suivi des candidatures'!$H$5:$H$300,E17,'Suivi des candidatures'!$N$5:$N$300,"En attente")+COUNTIFS('Suivi des candidatures'!$H$5:$H$300,E17,'Suivi des candidatures'!$N$5:$N$300,"Refus")+COUNTIFS('Suivi des candidatures'!$H$5:$H$300,E17,'Suivi des candidatures'!$N$5:$N$300,"Stage obtenu")+COUNTIFS('Suivi des candidatures'!$H$5:$H$300,E17,'Suivi des candidatures'!$N$5:$N$300,"Pré-embauche confirmée")</f>
        <v>0</v>
      </c>
    </row>
    <row r="18" customFormat="false" ht="15" hidden="false" customHeight="false" outlineLevel="0" collapsed="false">
      <c r="B18" s="27" t="s">
        <v>326</v>
      </c>
      <c r="C18" s="30" t="n">
        <f aca="false">IFERROR(MIN(C8/C17,1),0)</f>
        <v>0</v>
      </c>
      <c r="E18" s="15" t="s">
        <v>68</v>
      </c>
      <c r="F18" s="29" t="n">
        <f aca="false">COUNTIF('Suivi des candidatures'!$H$5:$H$300,E18)</f>
        <v>12</v>
      </c>
      <c r="G18" s="29" t="n">
        <f aca="false">COUNTIFS('Suivi des candidatures'!$H$5:$H$300,E18,'Suivi des candidatures'!$N$5:$N$300,"Candidature envoyée")+COUNTIFS('Suivi des candidatures'!$H$5:$H$300,E18,'Suivi des candidatures'!$N$5:$N$300,"Relance à faire")+COUNTIFS('Suivi des candidatures'!$H$5:$H$300,E18,'Suivi des candidatures'!$N$5:$N$300,"Entretien prévu")+COUNTIFS('Suivi des candidatures'!$H$5:$H$300,E18,'Suivi des candidatures'!$N$5:$N$300,"En attente")+COUNTIFS('Suivi des candidatures'!$H$5:$H$300,E18,'Suivi des candidatures'!$N$5:$N$300,"Refus")+COUNTIFS('Suivi des candidatures'!$H$5:$H$300,E18,'Suivi des candidatures'!$N$5:$N$300,"Stage obtenu")+COUNTIFS('Suivi des candidatures'!$H$5:$H$300,E18,'Suivi des candidatures'!$N$5:$N$300,"Pré-embauche confirmée")</f>
        <v>0</v>
      </c>
    </row>
    <row r="19" customFormat="false" ht="15" hidden="false" customHeight="false" outlineLevel="0" collapsed="false">
      <c r="E19" s="15" t="s">
        <v>105</v>
      </c>
      <c r="F19" s="29" t="n">
        <f aca="false">COUNTIF('Suivi des candidatures'!$H$5:$H$300,E19)</f>
        <v>8</v>
      </c>
      <c r="G19" s="29" t="n">
        <f aca="false">COUNTIFS('Suivi des candidatures'!$H$5:$H$300,E19,'Suivi des candidatures'!$N$5:$N$300,"Candidature envoyée")+COUNTIFS('Suivi des candidatures'!$H$5:$H$300,E19,'Suivi des candidatures'!$N$5:$N$300,"Relance à faire")+COUNTIFS('Suivi des candidatures'!$H$5:$H$300,E19,'Suivi des candidatures'!$N$5:$N$300,"Entretien prévu")+COUNTIFS('Suivi des candidatures'!$H$5:$H$300,E19,'Suivi des candidatures'!$N$5:$N$300,"En attente")+COUNTIFS('Suivi des candidatures'!$H$5:$H$300,E19,'Suivi des candidatures'!$N$5:$N$300,"Refus")+COUNTIFS('Suivi des candidatures'!$H$5:$H$300,E19,'Suivi des candidatures'!$N$5:$N$300,"Stage obtenu")+COUNTIFS('Suivi des candidatures'!$H$5:$H$300,E19,'Suivi des candidatures'!$N$5:$N$300,"Pré-embauche confirmée")</f>
        <v>0</v>
      </c>
    </row>
  </sheetData>
  <mergeCells count="3">
    <mergeCell ref="A1:H1"/>
    <mergeCell ref="A2:H2"/>
    <mergeCell ref="B14:C15"/>
  </mergeCells>
  <conditionalFormatting sqref="C18">
    <cfRule type="dataBar" priority="2">
      <dataBar showValue="1" minLength="10" maxLength="90">
        <cfvo type="num" val="0"/>
        <cfvo type="num" val="1"/>
        <color rgb="FF2563EB"/>
      </dataBar>
      <extLst>
        <ext xmlns:x14="http://schemas.microsoft.com/office/spreadsheetml/2009/9/main" uri="{B025F937-C7B1-47D3-B67F-A62EFF666E3E}">
          <x14:id>{BC3DA4FC-B1C2-40D0-9CAD-C642E1523ABF}</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BC3DA4FC-B1C2-40D0-9CAD-C642E1523ABF}">
            <x14:dataBar minLength="10" maxLength="90" axisPosition="none" gradient="true">
              <x14:cfvo type="num">
                <xm:f>0</xm:f>
              </x14:cfvo>
              <x14:cfvo type="num">
                <xm:f>1</xm:f>
              </x14:cfvo>
              <x14:negativeFillColor rgb="FF2563EB"/>
              <x14:axisColor rgb="FF000000"/>
            </x14:dataBar>
          </x14:cfRule>
          <xm:sqref>C18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3AED"/>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5" min="2" style="0" width="48"/>
  </cols>
  <sheetData>
    <row r="1" customFormat="false" ht="33.75" hidden="false" customHeight="true" outlineLevel="0" collapsed="false">
      <c r="A1" s="1" t="s">
        <v>327</v>
      </c>
      <c r="B1" s="1"/>
      <c r="C1" s="1"/>
      <c r="D1" s="1"/>
      <c r="E1" s="1"/>
    </row>
    <row r="2" customFormat="false" ht="30" hidden="false" customHeight="true" outlineLevel="0" collapsed="false">
      <c r="A2" s="2" t="s">
        <v>328</v>
      </c>
      <c r="B2" s="2"/>
      <c r="C2" s="2"/>
      <c r="D2" s="2"/>
      <c r="E2" s="2"/>
    </row>
    <row r="4" customFormat="false" ht="42" hidden="false" customHeight="true" outlineLevel="0" collapsed="false">
      <c r="A4" s="4" t="s">
        <v>329</v>
      </c>
      <c r="B4" s="31" t="s">
        <v>330</v>
      </c>
      <c r="C4" s="32" t="s">
        <v>331</v>
      </c>
      <c r="D4" s="33" t="s">
        <v>332</v>
      </c>
      <c r="E4" s="34" t="s">
        <v>333</v>
      </c>
    </row>
    <row r="5" customFormat="false" ht="60" hidden="false" customHeight="true" outlineLevel="0" collapsed="false">
      <c r="A5" s="35" t="s">
        <v>334</v>
      </c>
      <c r="B5" s="36" t="s">
        <v>335</v>
      </c>
      <c r="C5" s="36" t="s">
        <v>336</v>
      </c>
      <c r="D5" s="36" t="s">
        <v>337</v>
      </c>
      <c r="E5" s="36" t="s">
        <v>338</v>
      </c>
    </row>
    <row r="6" customFormat="false" ht="120" hidden="false" customHeight="true" outlineLevel="0" collapsed="false">
      <c r="A6" s="35" t="s">
        <v>339</v>
      </c>
      <c r="B6" s="36" t="s">
        <v>340</v>
      </c>
      <c r="C6" s="36" t="s">
        <v>341</v>
      </c>
      <c r="D6" s="36" t="s">
        <v>342</v>
      </c>
      <c r="E6" s="36" t="s">
        <v>343</v>
      </c>
    </row>
    <row r="7" customFormat="false" ht="120" hidden="false" customHeight="true" outlineLevel="0" collapsed="false">
      <c r="A7" s="35" t="s">
        <v>344</v>
      </c>
      <c r="B7" s="36" t="s">
        <v>345</v>
      </c>
      <c r="C7" s="36" t="s">
        <v>346</v>
      </c>
      <c r="D7" s="36" t="s">
        <v>347</v>
      </c>
      <c r="E7" s="36" t="s">
        <v>348</v>
      </c>
    </row>
    <row r="8" customFormat="false" ht="120" hidden="false" customHeight="true" outlineLevel="0" collapsed="false">
      <c r="A8" s="35" t="s">
        <v>349</v>
      </c>
      <c r="B8" s="36" t="s">
        <v>350</v>
      </c>
      <c r="C8" s="36" t="s">
        <v>351</v>
      </c>
      <c r="D8" s="36" t="s">
        <v>352</v>
      </c>
      <c r="E8" s="36" t="s">
        <v>353</v>
      </c>
    </row>
    <row r="9" customFormat="false" ht="120" hidden="false" customHeight="true" outlineLevel="0" collapsed="false">
      <c r="A9" s="35" t="s">
        <v>354</v>
      </c>
      <c r="B9" s="36" t="s">
        <v>355</v>
      </c>
      <c r="C9" s="36" t="s">
        <v>356</v>
      </c>
      <c r="D9" s="36" t="s">
        <v>357</v>
      </c>
      <c r="E9" s="36" t="s">
        <v>358</v>
      </c>
    </row>
    <row r="10" customFormat="false" ht="120" hidden="false" customHeight="true" outlineLevel="0" collapsed="false">
      <c r="A10" s="35" t="s">
        <v>359</v>
      </c>
      <c r="B10" s="36" t="s">
        <v>360</v>
      </c>
      <c r="C10" s="36" t="s">
        <v>361</v>
      </c>
      <c r="D10" s="36" t="s">
        <v>362</v>
      </c>
      <c r="E10" s="36" t="s">
        <v>363</v>
      </c>
    </row>
    <row r="12" customFormat="false" ht="15" hidden="false" customHeight="false" outlineLevel="0" collapsed="false">
      <c r="A12" s="37" t="s">
        <v>364</v>
      </c>
    </row>
    <row r="13" customFormat="false" ht="15" hidden="false" customHeight="true" outlineLevel="0" collapsed="false">
      <c r="A13" s="38" t="s">
        <v>365</v>
      </c>
      <c r="B13" s="38"/>
      <c r="C13" s="38"/>
      <c r="D13" s="38"/>
      <c r="E13" s="38"/>
    </row>
    <row r="14" customFormat="false" ht="15" hidden="false" customHeight="true" outlineLevel="0" collapsed="false">
      <c r="A14" s="38" t="s">
        <v>366</v>
      </c>
      <c r="B14" s="38"/>
      <c r="C14" s="38"/>
      <c r="D14" s="38"/>
      <c r="E14" s="38"/>
    </row>
    <row r="15" customFormat="false" ht="15" hidden="false" customHeight="true" outlineLevel="0" collapsed="false">
      <c r="A15" s="38" t="s">
        <v>367</v>
      </c>
      <c r="B15" s="38"/>
      <c r="C15" s="38"/>
      <c r="D15" s="38"/>
      <c r="E15" s="38"/>
    </row>
    <row r="16" customFormat="false" ht="15" hidden="false" customHeight="true" outlineLevel="0" collapsed="false">
      <c r="A16" s="38" t="s">
        <v>368</v>
      </c>
      <c r="B16" s="38"/>
      <c r="C16" s="38"/>
      <c r="D16" s="38"/>
      <c r="E16" s="38"/>
    </row>
    <row r="17" customFormat="false" ht="15" hidden="false" customHeight="true" outlineLevel="0" collapsed="false">
      <c r="A17" s="38" t="s">
        <v>369</v>
      </c>
      <c r="B17" s="38"/>
      <c r="C17" s="38"/>
      <c r="D17" s="38"/>
      <c r="E17" s="38"/>
    </row>
  </sheetData>
  <mergeCells count="7">
    <mergeCell ref="A1:E1"/>
    <mergeCell ref="A2:E2"/>
    <mergeCell ref="A13:E13"/>
    <mergeCell ref="A14:E14"/>
    <mergeCell ref="A15:E15"/>
    <mergeCell ref="A16:E16"/>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5309"/>
    <pageSetUpPr fitToPage="false"/>
  </sheetPr>
  <dimension ref="A1:F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3" min="3" style="0" width="40"/>
    <col collapsed="false" customWidth="true" hidden="false" outlineLevel="0" max="4" min="4" style="0" width="52"/>
    <col collapsed="false" customWidth="true" hidden="false" outlineLevel="0" max="5" min="5" style="0" width="34"/>
    <col collapsed="false" customWidth="true" hidden="false" outlineLevel="0" max="6" min="6" style="0" width="22"/>
  </cols>
  <sheetData>
    <row r="1" customFormat="false" ht="33.75" hidden="false" customHeight="true" outlineLevel="0" collapsed="false">
      <c r="A1" s="1" t="s">
        <v>370</v>
      </c>
      <c r="B1" s="1"/>
      <c r="C1" s="1"/>
      <c r="D1" s="1"/>
      <c r="E1" s="1"/>
      <c r="F1" s="1"/>
    </row>
    <row r="2" customFormat="false" ht="30" hidden="false" customHeight="true" outlineLevel="0" collapsed="false">
      <c r="A2" s="2" t="s">
        <v>371</v>
      </c>
      <c r="B2" s="2"/>
      <c r="C2" s="2"/>
      <c r="D2" s="2"/>
      <c r="E2" s="2"/>
      <c r="F2" s="2"/>
    </row>
    <row r="4" customFormat="false" ht="42" hidden="false" customHeight="true" outlineLevel="0" collapsed="false">
      <c r="A4" s="4" t="s">
        <v>372</v>
      </c>
      <c r="B4" s="4" t="s">
        <v>373</v>
      </c>
      <c r="C4" s="4" t="s">
        <v>374</v>
      </c>
      <c r="D4" s="4" t="s">
        <v>375</v>
      </c>
      <c r="E4" s="4" t="s">
        <v>376</v>
      </c>
      <c r="F4" s="4" t="s">
        <v>377</v>
      </c>
    </row>
    <row r="5" customFormat="false" ht="27.75" hidden="false" customHeight="true" outlineLevel="0" collapsed="false">
      <c r="A5" s="5" t="s">
        <v>191</v>
      </c>
      <c r="B5" s="6" t="s">
        <v>378</v>
      </c>
      <c r="C5" s="6" t="s">
        <v>379</v>
      </c>
      <c r="D5" s="8" t="s">
        <v>380</v>
      </c>
      <c r="E5" s="6" t="s">
        <v>381</v>
      </c>
      <c r="F5" s="6" t="s">
        <v>382</v>
      </c>
    </row>
    <row r="6" customFormat="false" ht="27.75" hidden="false" customHeight="true" outlineLevel="0" collapsed="false">
      <c r="A6" s="5" t="s">
        <v>237</v>
      </c>
      <c r="B6" s="6" t="s">
        <v>378</v>
      </c>
      <c r="C6" s="6" t="s">
        <v>383</v>
      </c>
      <c r="D6" s="8" t="s">
        <v>384</v>
      </c>
      <c r="E6" s="6" t="s">
        <v>385</v>
      </c>
      <c r="F6" s="6" t="s">
        <v>382</v>
      </c>
    </row>
    <row r="7" customFormat="false" ht="27.75" hidden="false" customHeight="true" outlineLevel="0" collapsed="false">
      <c r="A7" s="5" t="s">
        <v>228</v>
      </c>
      <c r="B7" s="6" t="s">
        <v>378</v>
      </c>
      <c r="C7" s="6" t="s">
        <v>386</v>
      </c>
      <c r="D7" s="8" t="s">
        <v>387</v>
      </c>
      <c r="E7" s="6" t="s">
        <v>388</v>
      </c>
      <c r="F7" s="6" t="s">
        <v>382</v>
      </c>
    </row>
    <row r="8" customFormat="false" ht="27.75" hidden="false" customHeight="true" outlineLevel="0" collapsed="false">
      <c r="A8" s="5" t="s">
        <v>389</v>
      </c>
      <c r="B8" s="6" t="s">
        <v>390</v>
      </c>
      <c r="C8" s="6" t="s">
        <v>391</v>
      </c>
      <c r="D8" s="6"/>
      <c r="E8" s="6" t="s">
        <v>392</v>
      </c>
      <c r="F8" s="6" t="s">
        <v>393</v>
      </c>
    </row>
    <row r="9" customFormat="false" ht="27.75" hidden="false" customHeight="true" outlineLevel="0" collapsed="false">
      <c r="A9" s="5" t="s">
        <v>41</v>
      </c>
      <c r="B9" s="6" t="s">
        <v>394</v>
      </c>
      <c r="C9" s="6" t="s">
        <v>273</v>
      </c>
      <c r="D9" s="8" t="s">
        <v>395</v>
      </c>
      <c r="E9" s="6" t="s">
        <v>396</v>
      </c>
      <c r="F9" s="6" t="s">
        <v>397</v>
      </c>
    </row>
    <row r="10" customFormat="false" ht="27.75" hidden="false" customHeight="true" outlineLevel="0" collapsed="false">
      <c r="A10" s="5" t="s">
        <v>398</v>
      </c>
      <c r="B10" s="6" t="s">
        <v>394</v>
      </c>
      <c r="C10" s="6" t="s">
        <v>273</v>
      </c>
      <c r="D10" s="8" t="s">
        <v>399</v>
      </c>
      <c r="E10" s="6" t="s">
        <v>396</v>
      </c>
      <c r="F10" s="6" t="s">
        <v>397</v>
      </c>
    </row>
    <row r="11" customFormat="false" ht="27.75" hidden="false" customHeight="true" outlineLevel="0" collapsed="false">
      <c r="A11" s="5" t="s">
        <v>150</v>
      </c>
      <c r="B11" s="6" t="s">
        <v>400</v>
      </c>
      <c r="C11" s="6" t="s">
        <v>273</v>
      </c>
      <c r="D11" s="8" t="s">
        <v>401</v>
      </c>
      <c r="E11" s="6" t="s">
        <v>402</v>
      </c>
      <c r="F11" s="6" t="s">
        <v>397</v>
      </c>
    </row>
    <row r="12" customFormat="false" ht="27.75" hidden="false" customHeight="true" outlineLevel="0" collapsed="false">
      <c r="A12" s="5" t="s">
        <v>403</v>
      </c>
      <c r="B12" s="6" t="s">
        <v>404</v>
      </c>
      <c r="C12" s="6" t="s">
        <v>273</v>
      </c>
      <c r="D12" s="8" t="s">
        <v>34</v>
      </c>
      <c r="E12" s="6" t="s">
        <v>405</v>
      </c>
      <c r="F12" s="6" t="s">
        <v>50</v>
      </c>
    </row>
    <row r="13" customFormat="false" ht="27.75" hidden="false" customHeight="true" outlineLevel="0" collapsed="false">
      <c r="A13" s="5" t="s">
        <v>406</v>
      </c>
      <c r="B13" s="6" t="s">
        <v>400</v>
      </c>
      <c r="C13" s="6" t="s">
        <v>273</v>
      </c>
      <c r="D13" s="8" t="s">
        <v>407</v>
      </c>
      <c r="E13" s="6" t="s">
        <v>408</v>
      </c>
      <c r="F13" s="6" t="s">
        <v>50</v>
      </c>
    </row>
    <row r="14" customFormat="false" ht="27.75" hidden="false" customHeight="true" outlineLevel="0" collapsed="false">
      <c r="A14" s="5" t="s">
        <v>73</v>
      </c>
      <c r="B14" s="6" t="s">
        <v>400</v>
      </c>
      <c r="C14" s="6" t="s">
        <v>273</v>
      </c>
      <c r="D14" s="8" t="s">
        <v>409</v>
      </c>
      <c r="E14" s="6" t="s">
        <v>410</v>
      </c>
      <c r="F14" s="6" t="s">
        <v>50</v>
      </c>
    </row>
    <row r="15" customFormat="false" ht="27.75" hidden="false" customHeight="true" outlineLevel="0" collapsed="false">
      <c r="A15" s="5" t="s">
        <v>94</v>
      </c>
      <c r="B15" s="6" t="s">
        <v>400</v>
      </c>
      <c r="C15" s="6" t="s">
        <v>273</v>
      </c>
      <c r="D15" s="8" t="s">
        <v>411</v>
      </c>
      <c r="E15" s="6" t="s">
        <v>410</v>
      </c>
      <c r="F15" s="6" t="s">
        <v>50</v>
      </c>
    </row>
    <row r="16" customFormat="false" ht="27.75" hidden="false" customHeight="true" outlineLevel="0" collapsed="false">
      <c r="A16" s="5" t="s">
        <v>412</v>
      </c>
      <c r="B16" s="6" t="s">
        <v>400</v>
      </c>
      <c r="C16" s="6" t="s">
        <v>273</v>
      </c>
      <c r="D16" s="8" t="s">
        <v>413</v>
      </c>
      <c r="E16" s="6" t="s">
        <v>414</v>
      </c>
      <c r="F16" s="6" t="s">
        <v>50</v>
      </c>
    </row>
    <row r="17" customFormat="false" ht="27.75" hidden="false" customHeight="true" outlineLevel="0" collapsed="false">
      <c r="A17" s="5" t="s">
        <v>415</v>
      </c>
      <c r="B17" s="6" t="s">
        <v>400</v>
      </c>
      <c r="C17" s="6" t="s">
        <v>273</v>
      </c>
      <c r="D17" s="8" t="s">
        <v>416</v>
      </c>
      <c r="E17" s="6" t="s">
        <v>410</v>
      </c>
      <c r="F17" s="6" t="s">
        <v>50</v>
      </c>
    </row>
    <row r="18" customFormat="false" ht="27.75" hidden="false" customHeight="true" outlineLevel="0" collapsed="false">
      <c r="A18" s="5" t="s">
        <v>165</v>
      </c>
      <c r="B18" s="6" t="s">
        <v>400</v>
      </c>
      <c r="C18" s="6" t="s">
        <v>273</v>
      </c>
      <c r="D18" s="8" t="s">
        <v>417</v>
      </c>
      <c r="E18" s="6" t="s">
        <v>410</v>
      </c>
      <c r="F18" s="6" t="s">
        <v>50</v>
      </c>
    </row>
    <row r="19" customFormat="false" ht="27.75" hidden="false" customHeight="true" outlineLevel="0" collapsed="false">
      <c r="A19" s="5" t="s">
        <v>418</v>
      </c>
      <c r="B19" s="6" t="s">
        <v>400</v>
      </c>
      <c r="C19" s="6" t="s">
        <v>273</v>
      </c>
      <c r="D19" s="8" t="s">
        <v>419</v>
      </c>
      <c r="E19" s="6" t="s">
        <v>410</v>
      </c>
      <c r="F19" s="6" t="s">
        <v>50</v>
      </c>
    </row>
    <row r="20" customFormat="false" ht="27.75" hidden="false" customHeight="true" outlineLevel="0" collapsed="false">
      <c r="A20" s="5" t="s">
        <v>208</v>
      </c>
      <c r="B20" s="6" t="s">
        <v>400</v>
      </c>
      <c r="C20" s="6" t="s">
        <v>273</v>
      </c>
      <c r="D20" s="8" t="s">
        <v>420</v>
      </c>
      <c r="E20" s="6" t="s">
        <v>410</v>
      </c>
      <c r="F20" s="6" t="s">
        <v>50</v>
      </c>
    </row>
    <row r="21" customFormat="false" ht="27.75" hidden="false" customHeight="true" outlineLevel="0" collapsed="false">
      <c r="A21" s="5" t="s">
        <v>421</v>
      </c>
      <c r="B21" s="6" t="s">
        <v>400</v>
      </c>
      <c r="C21" s="6" t="s">
        <v>273</v>
      </c>
      <c r="D21" s="8" t="s">
        <v>422</v>
      </c>
      <c r="E21" s="6" t="s">
        <v>410</v>
      </c>
      <c r="F21" s="6" t="s">
        <v>50</v>
      </c>
    </row>
    <row r="22" customFormat="false" ht="27.75" hidden="false" customHeight="true" outlineLevel="0" collapsed="false">
      <c r="A22" s="5" t="s">
        <v>222</v>
      </c>
      <c r="B22" s="6" t="s">
        <v>400</v>
      </c>
      <c r="C22" s="6" t="s">
        <v>273</v>
      </c>
      <c r="D22" s="8" t="s">
        <v>423</v>
      </c>
      <c r="E22" s="6" t="s">
        <v>410</v>
      </c>
      <c r="F22" s="6" t="s">
        <v>50</v>
      </c>
    </row>
    <row r="23" customFormat="false" ht="27.75" hidden="false" customHeight="true" outlineLevel="0" collapsed="false">
      <c r="A23" s="5" t="s">
        <v>216</v>
      </c>
      <c r="B23" s="6" t="s">
        <v>400</v>
      </c>
      <c r="C23" s="6" t="s">
        <v>273</v>
      </c>
      <c r="D23" s="8" t="s">
        <v>220</v>
      </c>
      <c r="E23" s="6" t="s">
        <v>410</v>
      </c>
      <c r="F23" s="6" t="s">
        <v>50</v>
      </c>
    </row>
    <row r="24" customFormat="false" ht="27.75" hidden="false" customHeight="true" outlineLevel="0" collapsed="false">
      <c r="A24" s="5" t="s">
        <v>424</v>
      </c>
      <c r="B24" s="6" t="s">
        <v>400</v>
      </c>
      <c r="C24" s="6" t="s">
        <v>273</v>
      </c>
      <c r="D24" s="8" t="s">
        <v>425</v>
      </c>
      <c r="E24" s="6" t="s">
        <v>426</v>
      </c>
      <c r="F24" s="6" t="s">
        <v>50</v>
      </c>
    </row>
    <row r="25" customFormat="false" ht="27.75" hidden="false" customHeight="true" outlineLevel="0" collapsed="false">
      <c r="A25" s="5" t="s">
        <v>427</v>
      </c>
      <c r="B25" s="6" t="s">
        <v>428</v>
      </c>
      <c r="C25" s="6" t="s">
        <v>429</v>
      </c>
      <c r="D25" s="8" t="s">
        <v>430</v>
      </c>
      <c r="E25" s="6" t="s">
        <v>273</v>
      </c>
      <c r="F25" s="6" t="s">
        <v>431</v>
      </c>
    </row>
    <row r="26" customFormat="false" ht="27.75" hidden="false" customHeight="true" outlineLevel="0" collapsed="false">
      <c r="A26" s="5" t="s">
        <v>432</v>
      </c>
      <c r="B26" s="6" t="s">
        <v>433</v>
      </c>
      <c r="C26" s="6" t="s">
        <v>434</v>
      </c>
      <c r="D26" s="8" t="s">
        <v>435</v>
      </c>
      <c r="E26" s="6" t="s">
        <v>273</v>
      </c>
      <c r="F26" s="6" t="s">
        <v>436</v>
      </c>
    </row>
    <row r="27" customFormat="false" ht="27.75" hidden="false" customHeight="true" outlineLevel="0" collapsed="false">
      <c r="A27" s="5" t="s">
        <v>437</v>
      </c>
      <c r="B27" s="6" t="s">
        <v>428</v>
      </c>
      <c r="C27" s="6" t="s">
        <v>438</v>
      </c>
      <c r="D27" s="8" t="s">
        <v>251</v>
      </c>
      <c r="E27" s="6" t="s">
        <v>273</v>
      </c>
      <c r="F27" s="6" t="s">
        <v>431</v>
      </c>
    </row>
    <row r="28" customFormat="false" ht="27.75" hidden="false" customHeight="true" outlineLevel="0" collapsed="false">
      <c r="A28" s="5" t="s">
        <v>439</v>
      </c>
      <c r="B28" s="6" t="s">
        <v>440</v>
      </c>
      <c r="C28" s="6" t="s">
        <v>441</v>
      </c>
      <c r="D28" s="8" t="s">
        <v>442</v>
      </c>
      <c r="E28" s="6" t="s">
        <v>273</v>
      </c>
      <c r="F28" s="6" t="s">
        <v>431</v>
      </c>
    </row>
    <row r="29" customFormat="false" ht="27.75" hidden="false" customHeight="true" outlineLevel="0" collapsed="false">
      <c r="A29" s="5" t="s">
        <v>443</v>
      </c>
      <c r="B29" s="6" t="s">
        <v>428</v>
      </c>
      <c r="C29" s="6" t="s">
        <v>444</v>
      </c>
      <c r="D29" s="8" t="s">
        <v>445</v>
      </c>
      <c r="E29" s="6" t="s">
        <v>273</v>
      </c>
      <c r="F29" s="6" t="s">
        <v>431</v>
      </c>
    </row>
    <row r="30" customFormat="false" ht="27.75" hidden="false" customHeight="true" outlineLevel="0" collapsed="false">
      <c r="A30" s="5" t="s">
        <v>446</v>
      </c>
      <c r="B30" s="6" t="s">
        <v>428</v>
      </c>
      <c r="C30" s="6" t="s">
        <v>447</v>
      </c>
      <c r="D30" s="8" t="s">
        <v>448</v>
      </c>
      <c r="E30" s="6" t="s">
        <v>273</v>
      </c>
      <c r="F30" s="6" t="s">
        <v>431</v>
      </c>
    </row>
    <row r="31" customFormat="false" ht="27.75" hidden="false" customHeight="true" outlineLevel="0" collapsed="false">
      <c r="A31" s="5" t="s">
        <v>449</v>
      </c>
      <c r="B31" s="6" t="s">
        <v>450</v>
      </c>
      <c r="C31" s="6" t="s">
        <v>451</v>
      </c>
      <c r="D31" s="8" t="s">
        <v>452</v>
      </c>
      <c r="E31" s="6" t="s">
        <v>273</v>
      </c>
      <c r="F31" s="6" t="s">
        <v>431</v>
      </c>
    </row>
    <row r="32" customFormat="false" ht="27.75" hidden="false" customHeight="true" outlineLevel="0" collapsed="false">
      <c r="A32" s="5" t="s">
        <v>453</v>
      </c>
      <c r="B32" s="6" t="s">
        <v>394</v>
      </c>
      <c r="C32" s="6" t="s">
        <v>454</v>
      </c>
      <c r="D32" s="8" t="s">
        <v>145</v>
      </c>
      <c r="E32" s="6" t="s">
        <v>455</v>
      </c>
      <c r="F32" s="6" t="s">
        <v>397</v>
      </c>
    </row>
    <row r="33" customFormat="false" ht="27.75" hidden="false" customHeight="true" outlineLevel="0" collapsed="false">
      <c r="A33" s="5" t="s">
        <v>456</v>
      </c>
      <c r="B33" s="6" t="s">
        <v>394</v>
      </c>
      <c r="C33" s="6" t="s">
        <v>457</v>
      </c>
      <c r="D33" s="8" t="s">
        <v>458</v>
      </c>
      <c r="E33" s="6" t="s">
        <v>459</v>
      </c>
      <c r="F33" s="6" t="s">
        <v>397</v>
      </c>
    </row>
    <row r="34" customFormat="false" ht="27.75" hidden="false" customHeight="true" outlineLevel="0" collapsed="false">
      <c r="A34" s="5" t="s">
        <v>460</v>
      </c>
      <c r="B34" s="6" t="s">
        <v>461</v>
      </c>
      <c r="C34" s="6" t="s">
        <v>462</v>
      </c>
      <c r="D34" s="8" t="s">
        <v>463</v>
      </c>
      <c r="E34" s="6" t="s">
        <v>459</v>
      </c>
      <c r="F34" s="6" t="s">
        <v>436</v>
      </c>
    </row>
    <row r="35" customFormat="false" ht="27.75" hidden="false" customHeight="true" outlineLevel="0" collapsed="false">
      <c r="A35" s="5" t="s">
        <v>464</v>
      </c>
      <c r="B35" s="6" t="s">
        <v>465</v>
      </c>
      <c r="C35" s="6" t="s">
        <v>466</v>
      </c>
      <c r="D35" s="6"/>
      <c r="E35" s="6" t="s">
        <v>467</v>
      </c>
      <c r="F35" s="6" t="s">
        <v>50</v>
      </c>
    </row>
    <row r="36" customFormat="false" ht="27.75" hidden="false" customHeight="true" outlineLevel="0" collapsed="false">
      <c r="A36" s="5" t="s">
        <v>468</v>
      </c>
      <c r="B36" s="6" t="s">
        <v>465</v>
      </c>
      <c r="C36" s="6" t="s">
        <v>469</v>
      </c>
      <c r="D36" s="6"/>
      <c r="E36" s="6" t="s">
        <v>467</v>
      </c>
      <c r="F36" s="6" t="s">
        <v>50</v>
      </c>
    </row>
    <row r="37" customFormat="false" ht="27.75" hidden="false" customHeight="true" outlineLevel="0" collapsed="false">
      <c r="A37" s="5" t="s">
        <v>470</v>
      </c>
      <c r="B37" s="6" t="s">
        <v>465</v>
      </c>
      <c r="C37" s="6" t="s">
        <v>471</v>
      </c>
      <c r="D37" s="6"/>
      <c r="E37" s="6" t="s">
        <v>467</v>
      </c>
      <c r="F37" s="6" t="s">
        <v>50</v>
      </c>
    </row>
    <row r="38" customFormat="false" ht="27.75" hidden="false" customHeight="true" outlineLevel="0" collapsed="false">
      <c r="A38" s="5" t="s">
        <v>472</v>
      </c>
      <c r="B38" s="6" t="s">
        <v>465</v>
      </c>
      <c r="C38" s="6" t="s">
        <v>473</v>
      </c>
      <c r="D38" s="6"/>
      <c r="E38" s="6" t="s">
        <v>467</v>
      </c>
      <c r="F38" s="6" t="s">
        <v>50</v>
      </c>
    </row>
    <row r="39" customFormat="false" ht="27.75" hidden="false" customHeight="true" outlineLevel="0" collapsed="false">
      <c r="A39" s="5" t="s">
        <v>474</v>
      </c>
      <c r="B39" s="6" t="s">
        <v>475</v>
      </c>
      <c r="C39" s="6" t="s">
        <v>476</v>
      </c>
      <c r="D39" s="6"/>
      <c r="E39" s="6" t="s">
        <v>477</v>
      </c>
      <c r="F39" s="6" t="s">
        <v>478</v>
      </c>
    </row>
  </sheetData>
  <mergeCells count="2">
    <mergeCell ref="A1:F1"/>
    <mergeCell ref="A2:F2"/>
  </mergeCells>
  <conditionalFormatting sqref="F5:F39">
    <cfRule type="cellIs" priority="2" operator="equal" aboveAverage="0" equalAverage="0" bottom="0" percent="0" rank="0" text="" dxfId="21">
      <formula>"Officiel"</formula>
    </cfRule>
    <cfRule type="cellIs" priority="3" operator="equal" aboveAverage="0" equalAverage="0" bottom="0" percent="0" rank="0" text="" dxfId="21">
      <formula>"Publiée"</formula>
    </cfRule>
    <cfRule type="cellIs" priority="4" operator="equal" aboveAverage="0" equalAverage="0" bottom="0" percent="0" rank="0" text="" dxfId="22">
      <formula>"À reconfirmer"</formula>
    </cfRule>
    <cfRule type="cellIs" priority="5" operator="equal" aboveAverage="0" equalAverage="0" bottom="0" percent="0" rank="0" text="" dxfId="23">
      <formula>"À vérifier"</formula>
    </cfRule>
  </conditionalFormatting>
  <hyperlinks>
    <hyperlink ref="D5" r:id="rId1" display="https://www.coface.com"/>
    <hyperlink ref="D6" r:id="rId2" display="https://www.allianz.ma"/>
    <hyperlink ref="D7" r:id="rId3" display="https://www.sanlam.ma"/>
    <hyperlink ref="D9" r:id="rId4" display="https://careers.te.com"/>
    <hyperlink ref="D10" r:id="rId5" display="https://emplois-afrique.kpmg.com/stage-alternance-maroc"/>
    <hyperlink ref="D11" r:id="rId6" display="https://www.creditdumaroc.ma"/>
    <hyperlink ref="D12" r:id="rId7" display="https://expleo.com/global/en/careers/"/>
    <hyperlink ref="D13" r:id="rId8" display="https://www.renaultgroup.com"/>
    <hyperlink ref="D14" r:id="rId9" display="https://www.valeo.com"/>
    <hyperlink ref="D15" r:id="rId10" display="https://www.tangermed.ma"/>
    <hyperlink ref="D16" r:id="rId11" display="https://www.apmterminals.com"/>
    <hyperlink ref="D17" r:id="rId12" display="https://www.opmobility.com"/>
    <hyperlink ref="D18" r:id="rId13" display="https://www.sahambank.com"/>
    <hyperlink ref="D19" r:id="rId14" display="https://www.groupebcp.com"/>
    <hyperlink ref="D20" r:id="rId15" display="https://www.wafaassurance.ma"/>
    <hyperlink ref="D21" r:id="rId16" display="https://www.axa.ma"/>
    <hyperlink ref="D22" r:id="rId17" display="https://www.rmaassurance.com"/>
    <hyperlink ref="D23" r:id="rId18" display="https://www.atlantasanad.ma"/>
    <hyperlink ref="D24" r:id="rId19" display="https://www.forvismazars.com"/>
    <hyperlink ref="D25" r:id="rId20" display="https://www.rekrute.com"/>
    <hyperlink ref="D26" r:id="rId21" display="https://www.dreamjob.ma/stage/"/>
    <hyperlink ref="D27" r:id="rId22" display="https://ma.indeed.com/Maroc-emplois-Stage-Finance"/>
    <hyperlink ref="D28" r:id="rId23" display="https://www.iagora.com/work/fr/stages-et-emplois/maroc"/>
    <hyperlink ref="D29" r:id="rId24" display="https://africarrieres.com/maroc/fr"/>
    <hyperlink ref="D30" r:id="rId25" display="https://www.jobsquare.ma"/>
    <hyperlink ref="D31" r:id="rId26" display="https://www.linkedin.com/jobs/"/>
    <hyperlink ref="D32" r:id="rId27" display="https://bcp-cand.talent-soft.com/offre-de-emploi/imprimer-fiche-emploi-candidatures-spontanees-stage-pfe-2027-bac-5-h-f_1672.aspx"/>
    <hyperlink ref="D33" r:id="rId28" display="https://carriere.creditdumaroc.ma"/>
    <hyperlink ref="D34" r:id="rId29" display="https://pfedaba.ma"/>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6A34A"/>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70"/>
    <col collapsed="false" customWidth="true" hidden="false" outlineLevel="0" max="3" min="3" style="0" width="26"/>
    <col collapsed="false" customWidth="true" hidden="false" outlineLevel="0" max="4" min="4" style="0" width="14"/>
  </cols>
  <sheetData>
    <row r="1" customFormat="false" ht="33.75" hidden="false" customHeight="true" outlineLevel="0" collapsed="false">
      <c r="A1" s="1" t="s">
        <v>479</v>
      </c>
      <c r="B1" s="1"/>
      <c r="C1" s="1"/>
      <c r="D1" s="1"/>
    </row>
    <row r="2" customFormat="false" ht="30" hidden="false" customHeight="true" outlineLevel="0" collapsed="false">
      <c r="A2" s="2" t="s">
        <v>480</v>
      </c>
      <c r="B2" s="2"/>
      <c r="C2" s="2"/>
      <c r="D2" s="2"/>
    </row>
    <row r="4" customFormat="false" ht="42" hidden="false" customHeight="true" outlineLevel="0" collapsed="false">
      <c r="A4" s="33" t="s">
        <v>481</v>
      </c>
      <c r="B4" s="33" t="s">
        <v>482</v>
      </c>
      <c r="C4" s="33" t="s">
        <v>483</v>
      </c>
      <c r="D4" s="33" t="s">
        <v>484</v>
      </c>
    </row>
    <row r="5" customFormat="false" ht="33.75" hidden="false" customHeight="true" outlineLevel="0" collapsed="false">
      <c r="A5" s="5" t="s">
        <v>485</v>
      </c>
      <c r="B5" s="6" t="s">
        <v>486</v>
      </c>
      <c r="C5" s="6" t="s">
        <v>487</v>
      </c>
      <c r="D5" s="7" t="s">
        <v>40</v>
      </c>
    </row>
    <row r="6" customFormat="false" ht="33.75" hidden="false" customHeight="true" outlineLevel="0" collapsed="false">
      <c r="A6" s="5" t="s">
        <v>485</v>
      </c>
      <c r="B6" s="6" t="s">
        <v>488</v>
      </c>
      <c r="C6" s="6" t="s">
        <v>150</v>
      </c>
      <c r="D6" s="7" t="s">
        <v>40</v>
      </c>
    </row>
    <row r="7" customFormat="false" ht="33.75" hidden="false" customHeight="true" outlineLevel="0" collapsed="false">
      <c r="A7" s="5" t="s">
        <v>485</v>
      </c>
      <c r="B7" s="6" t="s">
        <v>489</v>
      </c>
      <c r="C7" s="6" t="s">
        <v>403</v>
      </c>
      <c r="D7" s="7" t="s">
        <v>40</v>
      </c>
    </row>
    <row r="8" customFormat="false" ht="33.75" hidden="false" customHeight="true" outlineLevel="0" collapsed="false">
      <c r="A8" s="5" t="s">
        <v>490</v>
      </c>
      <c r="B8" s="6" t="s">
        <v>491</v>
      </c>
      <c r="C8" s="6" t="s">
        <v>492</v>
      </c>
      <c r="D8" s="7" t="s">
        <v>40</v>
      </c>
    </row>
    <row r="9" customFormat="false" ht="33.75" hidden="false" customHeight="true" outlineLevel="0" collapsed="false">
      <c r="A9" s="5" t="s">
        <v>493</v>
      </c>
      <c r="B9" s="6" t="s">
        <v>494</v>
      </c>
      <c r="C9" s="6" t="s">
        <v>495</v>
      </c>
      <c r="D9" s="7" t="s">
        <v>40</v>
      </c>
    </row>
    <row r="10" customFormat="false" ht="33.75" hidden="false" customHeight="true" outlineLevel="0" collapsed="false">
      <c r="A10" s="5" t="s">
        <v>493</v>
      </c>
      <c r="B10" s="6" t="s">
        <v>496</v>
      </c>
      <c r="C10" s="6" t="s">
        <v>497</v>
      </c>
      <c r="D10" s="7" t="s">
        <v>40</v>
      </c>
    </row>
    <row r="11" customFormat="false" ht="33.75" hidden="false" customHeight="true" outlineLevel="0" collapsed="false">
      <c r="A11" s="5" t="s">
        <v>498</v>
      </c>
      <c r="B11" s="6" t="s">
        <v>499</v>
      </c>
      <c r="C11" s="6" t="s">
        <v>500</v>
      </c>
      <c r="D11" s="7" t="s">
        <v>40</v>
      </c>
    </row>
    <row r="12" customFormat="false" ht="33.75" hidden="false" customHeight="true" outlineLevel="0" collapsed="false">
      <c r="A12" s="5" t="s">
        <v>501</v>
      </c>
      <c r="B12" s="6" t="s">
        <v>502</v>
      </c>
      <c r="C12" s="6" t="s">
        <v>273</v>
      </c>
      <c r="D12" s="7" t="s">
        <v>40</v>
      </c>
    </row>
    <row r="13" customFormat="false" ht="33.75" hidden="false" customHeight="true" outlineLevel="0" collapsed="false">
      <c r="A13" s="5" t="s">
        <v>503</v>
      </c>
      <c r="B13" s="6" t="s">
        <v>504</v>
      </c>
      <c r="C13" s="6" t="s">
        <v>505</v>
      </c>
      <c r="D13" s="7" t="s">
        <v>40</v>
      </c>
    </row>
    <row r="14" customFormat="false" ht="33.75" hidden="false" customHeight="true" outlineLevel="0" collapsed="false">
      <c r="A14" s="5" t="s">
        <v>506</v>
      </c>
      <c r="B14" s="6" t="s">
        <v>507</v>
      </c>
      <c r="C14" s="6" t="s">
        <v>273</v>
      </c>
      <c r="D14" s="7" t="s">
        <v>40</v>
      </c>
    </row>
    <row r="15" customFormat="false" ht="33.75" hidden="false" customHeight="true" outlineLevel="0" collapsed="false">
      <c r="A15" s="5" t="s">
        <v>508</v>
      </c>
      <c r="B15" s="6" t="s">
        <v>509</v>
      </c>
      <c r="C15" s="6" t="s">
        <v>510</v>
      </c>
      <c r="D15" s="7" t="s">
        <v>40</v>
      </c>
    </row>
  </sheetData>
  <mergeCells count="2">
    <mergeCell ref="A1:D1"/>
    <mergeCell ref="A2:D2"/>
  </mergeCells>
  <conditionalFormatting sqref="A5:D40">
    <cfRule type="expression" priority="2" aboveAverage="0" equalAverage="0" bottom="0" percent="0" rank="0" text="" dxfId="24">
      <formula>$D5="Oui"</formula>
    </cfRule>
  </conditionalFormatting>
  <dataValidations count="1">
    <dataValidation allowBlank="true" errorStyle="stop" operator="between" showDropDown="false" showErrorMessage="false" showInputMessage="false" sqref="D5:D40"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4748B"/>
    <pageSetUpPr fitToPage="false"/>
  </sheetPr>
  <dimension ref="A1:B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10"/>
  </cols>
  <sheetData>
    <row r="1" customFormat="false" ht="33.75" hidden="false" customHeight="true" outlineLevel="0" collapsed="false">
      <c r="A1" s="1" t="s">
        <v>511</v>
      </c>
      <c r="B1" s="1"/>
    </row>
    <row r="2" customFormat="false" ht="30" hidden="false" customHeight="true" outlineLevel="0" collapsed="false">
      <c r="A2" s="2" t="s">
        <v>512</v>
      </c>
      <c r="B2" s="2"/>
    </row>
    <row r="4" customFormat="false" ht="42" hidden="false" customHeight="true" outlineLevel="0" collapsed="false">
      <c r="A4" s="4" t="s">
        <v>513</v>
      </c>
      <c r="B4" s="4" t="s">
        <v>514</v>
      </c>
    </row>
    <row r="5" customFormat="false" ht="15" hidden="false" customHeight="false" outlineLevel="0" collapsed="false">
      <c r="A5" s="39" t="s">
        <v>515</v>
      </c>
      <c r="B5" s="40" t="s">
        <v>48</v>
      </c>
    </row>
    <row r="6" customFormat="false" ht="15" hidden="false" customHeight="false" outlineLevel="0" collapsed="false">
      <c r="A6" s="39" t="s">
        <v>516</v>
      </c>
      <c r="B6" s="40" t="s">
        <v>517</v>
      </c>
    </row>
    <row r="7" customFormat="false" ht="15" hidden="false" customHeight="false" outlineLevel="0" collapsed="false">
      <c r="A7" s="39" t="s">
        <v>518</v>
      </c>
      <c r="B7" s="40" t="s">
        <v>519</v>
      </c>
    </row>
    <row r="8" customFormat="false" ht="15" hidden="false" customHeight="false" outlineLevel="0" collapsed="false">
      <c r="A8" s="39" t="s">
        <v>520</v>
      </c>
      <c r="B8" s="40" t="s">
        <v>521</v>
      </c>
    </row>
    <row r="9" customFormat="false" ht="15" hidden="false" customHeight="false" outlineLevel="0" collapsed="false">
      <c r="A9" s="39" t="s">
        <v>522</v>
      </c>
      <c r="B9" s="40" t="s">
        <v>523</v>
      </c>
    </row>
    <row r="10" customFormat="false" ht="15" hidden="false" customHeight="false" outlineLevel="0" collapsed="false">
      <c r="A10" s="39" t="s">
        <v>524</v>
      </c>
      <c r="B10" s="40" t="s">
        <v>60</v>
      </c>
    </row>
    <row r="11" customFormat="false" ht="15" hidden="false" customHeight="false" outlineLevel="0" collapsed="false">
      <c r="A11" s="39" t="s">
        <v>525</v>
      </c>
      <c r="B11" s="40" t="s">
        <v>79</v>
      </c>
    </row>
    <row r="12" customFormat="false" ht="15" hidden="false" customHeight="false" outlineLevel="0" collapsed="false">
      <c r="A12" s="39" t="s">
        <v>526</v>
      </c>
      <c r="B12" s="40" t="s">
        <v>527</v>
      </c>
    </row>
    <row r="13" customFormat="false" ht="15" hidden="false" customHeight="false" outlineLevel="0" collapsed="false">
      <c r="A13" s="39" t="s">
        <v>528</v>
      </c>
      <c r="B13" s="40" t="s">
        <v>88</v>
      </c>
    </row>
    <row r="14" customFormat="false" ht="15" hidden="false" customHeight="false" outlineLevel="0" collapsed="false">
      <c r="A14" s="39" t="s">
        <v>529</v>
      </c>
      <c r="B14" s="40" t="s">
        <v>98</v>
      </c>
    </row>
    <row r="15" customFormat="false" ht="15" hidden="false" customHeight="false" outlineLevel="0" collapsed="false">
      <c r="A15" s="39" t="s">
        <v>530</v>
      </c>
      <c r="B15" s="40" t="s">
        <v>122</v>
      </c>
    </row>
    <row r="16" customFormat="false" ht="15" hidden="false" customHeight="false" outlineLevel="0" collapsed="false">
      <c r="A16" s="39" t="s">
        <v>531</v>
      </c>
      <c r="B16" s="40" t="s">
        <v>106</v>
      </c>
    </row>
    <row r="17" customFormat="false" ht="15" hidden="false" customHeight="false" outlineLevel="0" collapsed="false">
      <c r="A17" s="39" t="s">
        <v>532</v>
      </c>
      <c r="B17" s="40" t="s">
        <v>187</v>
      </c>
    </row>
    <row r="18" customFormat="false" ht="15" hidden="false" customHeight="false" outlineLevel="0" collapsed="false">
      <c r="A18" s="39" t="s">
        <v>533</v>
      </c>
      <c r="B18" s="40" t="s">
        <v>197</v>
      </c>
    </row>
    <row r="19" customFormat="false" ht="15" hidden="false" customHeight="false" outlineLevel="0" collapsed="false">
      <c r="A19" s="39" t="s">
        <v>534</v>
      </c>
      <c r="B19" s="40" t="s">
        <v>535</v>
      </c>
    </row>
    <row r="20" customFormat="false" ht="15" hidden="false" customHeight="false" outlineLevel="0" collapsed="false">
      <c r="A20" s="39" t="s">
        <v>536</v>
      </c>
      <c r="B20" s="40" t="s">
        <v>170</v>
      </c>
    </row>
    <row r="21" customFormat="false" ht="15" hidden="false" customHeight="false" outlineLevel="0" collapsed="false">
      <c r="A21" s="39" t="s">
        <v>537</v>
      </c>
      <c r="B21" s="40" t="s">
        <v>538</v>
      </c>
    </row>
    <row r="22" customFormat="false" ht="15" hidden="false" customHeight="false" outlineLevel="0" collapsed="false">
      <c r="A22" s="39" t="s">
        <v>539</v>
      </c>
      <c r="B22" s="40" t="s">
        <v>540</v>
      </c>
    </row>
    <row r="23" customFormat="false" ht="15" hidden="false" customHeight="false" outlineLevel="0" collapsed="false">
      <c r="A23" s="39" t="s">
        <v>541</v>
      </c>
      <c r="B23" s="40" t="s">
        <v>542</v>
      </c>
    </row>
    <row r="24" customFormat="false" ht="15" hidden="false" customHeight="false" outlineLevel="0" collapsed="false">
      <c r="A24" s="39" t="s">
        <v>543</v>
      </c>
      <c r="B24" s="40" t="s">
        <v>544</v>
      </c>
    </row>
    <row r="25" customFormat="false" ht="15" hidden="false" customHeight="false" outlineLevel="0" collapsed="false">
      <c r="A25" s="39" t="s">
        <v>545</v>
      </c>
      <c r="B25" s="40" t="s">
        <v>546</v>
      </c>
    </row>
    <row r="26" customFormat="false" ht="15" hidden="false" customHeight="false" outlineLevel="0" collapsed="false">
      <c r="A26" s="39" t="s">
        <v>547</v>
      </c>
      <c r="B26" s="40" t="s">
        <v>205</v>
      </c>
    </row>
    <row r="27" customFormat="false" ht="15" hidden="false" customHeight="false" outlineLevel="0" collapsed="false">
      <c r="A27" s="39" t="s">
        <v>548</v>
      </c>
      <c r="B27" s="40" t="s">
        <v>213</v>
      </c>
    </row>
    <row r="28" customFormat="false" ht="15" hidden="false" customHeight="false" outlineLevel="0" collapsed="false">
      <c r="A28" s="39" t="s">
        <v>549</v>
      </c>
      <c r="B28" s="40" t="s">
        <v>226</v>
      </c>
    </row>
    <row r="29" customFormat="false" ht="15" hidden="false" customHeight="false" outlineLevel="0" collapsed="false">
      <c r="A29" s="39" t="s">
        <v>550</v>
      </c>
      <c r="B29" s="40" t="s">
        <v>233</v>
      </c>
    </row>
    <row r="30" customFormat="false" ht="15" hidden="false" customHeight="false" outlineLevel="0" collapsed="false">
      <c r="A30" s="39" t="s">
        <v>551</v>
      </c>
      <c r="B30" s="40" t="s">
        <v>242</v>
      </c>
    </row>
    <row r="31" customFormat="false" ht="15" hidden="false" customHeight="false" outlineLevel="0" collapsed="false">
      <c r="A31" s="39" t="s">
        <v>552</v>
      </c>
      <c r="B31" s="40" t="s">
        <v>251</v>
      </c>
    </row>
    <row r="32" customFormat="false" ht="15" hidden="false" customHeight="false" outlineLevel="0" collapsed="false">
      <c r="A32" s="39" t="s">
        <v>553</v>
      </c>
      <c r="B32" s="40" t="s">
        <v>259</v>
      </c>
    </row>
    <row r="33" customFormat="false" ht="15" hidden="false" customHeight="false" outlineLevel="0" collapsed="false">
      <c r="A33" s="39" t="s">
        <v>554</v>
      </c>
      <c r="B33" s="40" t="s">
        <v>267</v>
      </c>
    </row>
    <row r="34" customFormat="false" ht="15" hidden="false" customHeight="false" outlineLevel="0" collapsed="false">
      <c r="A34" s="39" t="s">
        <v>555</v>
      </c>
      <c r="B34" s="40" t="s">
        <v>275</v>
      </c>
    </row>
    <row r="35" customFormat="false" ht="15" hidden="false" customHeight="false" outlineLevel="0" collapsed="false">
      <c r="A35" s="39" t="s">
        <v>556</v>
      </c>
      <c r="B35" s="40" t="s">
        <v>289</v>
      </c>
    </row>
    <row r="36" customFormat="false" ht="15" hidden="false" customHeight="false" outlineLevel="0" collapsed="false">
      <c r="A36" s="39" t="s">
        <v>557</v>
      </c>
      <c r="B36" s="40" t="s">
        <v>558</v>
      </c>
    </row>
    <row r="37" customFormat="false" ht="15" hidden="false" customHeight="false" outlineLevel="0" collapsed="false">
      <c r="A37" s="39" t="s">
        <v>131</v>
      </c>
      <c r="B37" s="40" t="s">
        <v>136</v>
      </c>
    </row>
    <row r="38" customFormat="false" ht="15" hidden="false" customHeight="false" outlineLevel="0" collapsed="false">
      <c r="A38" s="39" t="s">
        <v>559</v>
      </c>
      <c r="B38" s="40" t="s">
        <v>560</v>
      </c>
    </row>
    <row r="39" customFormat="false" ht="15" hidden="false" customHeight="false" outlineLevel="0" collapsed="false">
      <c r="A39" s="39" t="s">
        <v>561</v>
      </c>
      <c r="B39" s="40" t="s">
        <v>562</v>
      </c>
    </row>
    <row r="40" customFormat="false" ht="15" hidden="false" customHeight="false" outlineLevel="0" collapsed="false">
      <c r="A40" s="39" t="s">
        <v>563</v>
      </c>
      <c r="B40" s="40" t="s">
        <v>564</v>
      </c>
    </row>
    <row r="41" customFormat="false" ht="15" hidden="false" customHeight="false" outlineLevel="0" collapsed="false">
      <c r="A41" s="39" t="s">
        <v>565</v>
      </c>
      <c r="B41" s="40" t="s">
        <v>129</v>
      </c>
    </row>
  </sheetData>
  <mergeCells count="2">
    <mergeCell ref="A1:B1"/>
    <mergeCell ref="A2:B2"/>
  </mergeCells>
  <hyperlinks>
    <hyperlink ref="B5" r:id="rId1" display="https://careers.te.com/job/Tanger-Finance-Development-Program-Trainee-%28mfd%29-TNG-9000/1259786700"/>
    <hyperlink ref="B6" r:id="rId2" display="https://m.naukrigulf.com/fp-a-analyst-jobs-in-tangier-morocco-in-te-connectivity-ltd-6-to-11-years-n-cd-10003114-jid-311025500502"/>
    <hyperlink ref="B7" r:id="rId3" display="https://www.dreamjob.ma/stage/stages-renault-group-nombreuses-opportunites-a-tanger-et-casablanca/"/>
    <hyperlink ref="B8" r:id="rId4" display="https://www.dreamjob.ma/stage/campagne-de-stages-pfe-2026-chez-renault-group-maroc/"/>
    <hyperlink ref="B9" r:id="rId5" display="https://www.dreamjob.ma/emploi/renault-group-lance-son-graduate-program-pour-les-jeunes-ingenieurs-a-casablanca-et-tanger/"/>
    <hyperlink ref="B10" r:id="rId6" display="https://www.iagora.com/work/fr/offre/stage-maroc-management/5984409"/>
    <hyperlink ref="B11" r:id="rId7" display="https://ma.indeed.com/cmp/Valeo-Maroc/about"/>
    <hyperlink ref="B12" r:id="rId8" display="https://www.dreamjob.ma/emploi/consultants-sap-experimentes-recherches-par-expleo-group-a-tanger/"/>
    <hyperlink ref="B13" r:id="rId9" display="https://www.dreamjob.ma/emploi/tanger-med-port-authority-candidature-spontanee/"/>
    <hyperlink ref="B14" r:id="rId10" display="https://www.dreamjob.ma/a-la-une/stages-ouverts-a-tanger-med-chez-apm-terminals/"/>
    <hyperlink ref="B15" r:id="rId11" display="https://www.dreamjob.ma/stage/orhan-automotive-lance-une-campagne-de-recrutement-de-stagiaires-a-tanger/"/>
    <hyperlink ref="B16" r:id="rId12" display="https://ma.indeed.com/cmp/Opmobility/jobs"/>
    <hyperlink ref="B17" r:id="rId13" display="https://www.dreamjob.ma/stage/coface-ouvre-des-stages-en-data-et-intelligence-artificielle-a-casablanca/"/>
    <hyperlink ref="B18" r:id="rId14" display="https://www.dreamjob.ma/stage/coface-recrute-stagiaires/"/>
    <hyperlink ref="B19" r:id="rId15" display="https://www.rekrute.com/offre-emploi-analyste-sinistres-_anapec_-recrutement-coface-casablanca-186685.html"/>
    <hyperlink ref="B20" r:id="rId16" display="https://www.rekrute.com/offre-emploi-stagiaire-pfe---campagne-2026-hf---finance-audit---commercial-recrutement-saham-bank-casablanca-178707.html"/>
    <hyperlink ref="B21" r:id="rId17" display="https://bghit-nekhdem.com/credit-du-maroc-lance-sa-campagne-pfe-2025-2026-au-maroc/"/>
    <hyperlink ref="B22" r:id="rId18" display="https://www.creditdumaroc.ma/sites/default/files/rapport_financier_semestriel_resultats_financiers_au_30_juin_2026.pdf"/>
    <hyperlink ref="B23" r:id="rId19" display="https://www.dreamjob.ma/stage/108-offres-de-stages-pfe-chez-banque-populaire/"/>
    <hyperlink ref="B24" r:id="rId20" display="https://en.7news.ma/?p=18881"/>
    <hyperlink ref="B25" r:id="rId21" display="https://lematin.ma/economie/attijariwafa-bank-titre-a-acheter-bmce-capital/367005"/>
    <hyperlink ref="B26" r:id="rId22" display="https://www.dreamjob.ma/stage/axa-assurance-recrutement-stagiaires/"/>
    <hyperlink ref="B27" r:id="rId23" display="https://www.dreamjob.ma/emploi/finance-data-et-it-wafa-assurance-recrute-a-casablanca-et-fes/"/>
    <hyperlink ref="B28" r:id="rId24" display="https://www.dreamjob.ma/emploi/opportunites-a-saisir-chez-rma-a-casablanca/"/>
    <hyperlink ref="B29" r:id="rId25" display="https://bghit-nekhdem.com/sanlam-maroc-lance-sa-campagne-de-recrutement-de-stagiaires-pfe-2025/"/>
    <hyperlink ref="B30" r:id="rId26" display="https://www.dreamjob.ma/stage/allianz-assurances-recrute-stagiaires-actuariat-vie-sante/"/>
    <hyperlink ref="B31" r:id="rId27" display="https://ma.indeed.com/Maroc-emplois-Stage-Finance"/>
    <hyperlink ref="B32" r:id="rId28" display="https://emplois-afrique.kpmg.com/emploi/casablanca/auditeur-moroccan-market-stage-pfe-f-h/3358/31698089856"/>
    <hyperlink ref="B33" r:id="rId29" display="https://www.dreamjob.ma/stage/deloitte-maroc-lance-sa-campagne-de-stages-audit-pfe-2026/"/>
    <hyperlink ref="B34" r:id="rId30" display="https://www.dreamjob.ma/emploi/stagiaires-pfe-en-tax-recherches-par-pwc-maroc/"/>
    <hyperlink ref="B35" r:id="rId31" display="https://www.dreamjob.ma/stage/bdo-maroc-recherche-des-stagiaires-pfe-en-audit/"/>
    <hyperlink ref="B36" r:id="rId32" display="https://telquel.ma/2026/04/10/cabinets-daudit-ey-maroc-le-big-four-discret_1983792"/>
    <hyperlink ref="B37" r:id="rId33" display="https://www.dreamjob.ma/emploi/yazaki-maroc-recrute/"/>
    <hyperlink ref="B38" r:id="rId34" display="https://alwadifa-maroc.com/offre/show/id/23355"/>
    <hyperlink ref="B39" r:id="rId35" display="https://africarrieres.com/ghana/en/emplois/stages-pfe-20262027-datalab-pre-embauche"/>
    <hyperlink ref="B40" r:id="rId36" display="https://ma.indeed.com/cmp/Coface/jobs"/>
    <hyperlink ref="B41" r:id="rId37" display="https://www.dreamjob.ma/emploi/ti-fluid-systems-recrute-plusieurs-post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BD5E1"/>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50</v>
      </c>
      <c r="B1" s="0" t="s">
        <v>31</v>
      </c>
      <c r="C1" s="0" t="s">
        <v>149</v>
      </c>
      <c r="D1" s="0" t="s">
        <v>30</v>
      </c>
      <c r="E1" s="0" t="s">
        <v>149</v>
      </c>
    </row>
    <row r="2" customFormat="false" ht="15" hidden="false" customHeight="false" outlineLevel="0" collapsed="false">
      <c r="A2" s="0" t="s">
        <v>36</v>
      </c>
      <c r="B2" s="0" t="s">
        <v>68</v>
      </c>
      <c r="C2" s="0" t="s">
        <v>37</v>
      </c>
      <c r="D2" s="0" t="s">
        <v>47</v>
      </c>
      <c r="E2" s="0" t="s">
        <v>40</v>
      </c>
    </row>
    <row r="3" customFormat="false" ht="15" hidden="false" customHeight="false" outlineLevel="0" collapsed="false">
      <c r="A3" s="0" t="s">
        <v>90</v>
      </c>
      <c r="B3" s="0" t="s">
        <v>105</v>
      </c>
      <c r="C3" s="0" t="s">
        <v>40</v>
      </c>
      <c r="D3" s="0" t="s">
        <v>144</v>
      </c>
    </row>
    <row r="4" customFormat="false" ht="15" hidden="false" customHeight="false" outlineLevel="0" collapsed="false">
      <c r="A4" s="0" t="s">
        <v>308</v>
      </c>
      <c r="C4" s="0" t="s">
        <v>51</v>
      </c>
      <c r="D4" s="0" t="s">
        <v>250</v>
      </c>
    </row>
    <row r="5" customFormat="false" ht="15" hidden="false" customHeight="false" outlineLevel="0" collapsed="false">
      <c r="A5" s="0" t="s">
        <v>310</v>
      </c>
    </row>
    <row r="6" customFormat="false" ht="15" hidden="false" customHeight="false" outlineLevel="0" collapsed="false">
      <c r="A6" s="0" t="s">
        <v>312</v>
      </c>
    </row>
    <row r="7" customFormat="false" ht="15" hidden="false" customHeight="false" outlineLevel="0" collapsed="false">
      <c r="A7" s="0" t="s">
        <v>314</v>
      </c>
    </row>
    <row r="8" customFormat="false" ht="15" hidden="false" customHeight="false" outlineLevel="0" collapsed="false">
      <c r="A8" s="0" t="s">
        <v>316</v>
      </c>
    </row>
    <row r="9" customFormat="false" ht="15" hidden="false" customHeight="false" outlineLevel="0" collapsed="false">
      <c r="A9" s="0" t="s">
        <v>318</v>
      </c>
    </row>
    <row r="10" customFormat="false" ht="15" hidden="false" customHeight="false" outlineLevel="0" collapsed="false">
      <c r="A10" s="0" t="s">
        <v>320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2026-10-29T15:18:07Z</dcterms:created>
  <dc:creator>openpyxl</dc:creator>
  <dc:description/>
  <dc:language>en-US</dc:language>
  <cp:lastModifiedBy/>
  <dcterms:modified xsi:type="dcterms:W3CDTF">2026-10-29T15:18:09Z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